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3" documentId="11_D9EFC395F9A2F7C479E9E998ECEDF41F6E87BD48" xr6:coauthVersionLast="47" xr6:coauthVersionMax="47" xr10:uidLastSave="{BF5D27C4-4E95-4423-A2C1-9CE28CEB1CC9}"/>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9" i="1" l="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<sst xmlns="http://schemas.openxmlformats.org/spreadsheetml/2006/main" count="630" uniqueCount="224">
  <si>
    <t>Id</t>
  </si>
  <si>
    <t>Start time</t>
  </si>
  <si>
    <t>Completion time</t>
  </si>
  <si>
    <t>Email</t>
  </si>
  <si>
    <t>Name</t>
  </si>
  <si>
    <t>Email ID</t>
  </si>
  <si>
    <t>Mentor Name</t>
  </si>
  <si>
    <t>Track</t>
  </si>
  <si>
    <t>Program Name</t>
  </si>
  <si>
    <t>Course Name</t>
  </si>
  <si>
    <t>Sprint Number</t>
  </si>
  <si>
    <t>Issue Logged On</t>
  </si>
  <si>
    <t>Learning Activity</t>
  </si>
  <si>
    <t>Type of Defect</t>
  </si>
  <si>
    <t>Priority of Defect</t>
  </si>
  <si>
    <t>Issue / Defect Exact Details</t>
  </si>
  <si>
    <t>Issue Resolved By</t>
  </si>
  <si>
    <t>Date of Resolution</t>
  </si>
  <si>
    <t>Resolution Details</t>
  </si>
  <si>
    <t>Resolution Uploaded on LMS</t>
  </si>
  <si>
    <t>Is Issue Closed? (Delivery Team Confirmation)</t>
  </si>
  <si>
    <t>TAT</t>
  </si>
  <si>
    <t>__PowerAppsId__</t>
  </si>
  <si>
    <t>anonymous</t>
  </si>
  <si>
    <t>Valli Natarajan</t>
  </si>
  <si>
    <t>DA</t>
  </si>
  <si>
    <t>Data Analytics with ML Essentials (PSDST)</t>
  </si>
  <si>
    <t>Exploratory Data Analysis using Power BI</t>
  </si>
  <si>
    <t>5</t>
  </si>
  <si>
    <t>Concept Session</t>
  </si>
  <si>
    <t>High - Time Impact</t>
  </si>
  <si>
    <t>L1 - High</t>
  </si>
  <si>
    <t>The slides from slide#17 does not contain syntax and demo for FILTER, RELATED and CALCULATED functions.</t>
  </si>
  <si>
    <t>Lopa</t>
  </si>
  <si>
    <t>The application’s built-in Intellisense is self-explanatory, so we do not provide the syntax for every function. We expect mentors to conduct independent research to ensure they are fully prepared. Please note that PPTs, SGs, and IGs are not intended to be as exhaustive as a textbook; furthermore, we must adhere to strict file size constraints for these components.</t>
  </si>
  <si>
    <t>NA</t>
  </si>
  <si>
    <t>Yes</t>
  </si>
  <si>
    <t>fddfd2ae-2b56-4a46-9738-fc2ed11fd68b</t>
  </si>
  <si>
    <t>6</t>
  </si>
  <si>
    <t>High - Inappropriate Content / Language</t>
  </si>
  <si>
    <t>The date functions like TOTALYTD, TOTALMTD and TOTALQTD etc does not have syntax or demo slide.</t>
  </si>
  <si>
    <t>a804cc71-5135-4bd2-8c43-4872ccd98c58</t>
  </si>
  <si>
    <t>3</t>
  </si>
  <si>
    <t>L2 - Medium</t>
  </si>
  <si>
    <t>The slide#34 does not contain the correct syntax for M Query Language.</t>
  </si>
  <si>
    <t>Modified with complete code and sent for SCORM creation and LMS upload.</t>
  </si>
  <si>
    <t>939cb866-a3d3-4568-b503-b95a55b56fe1</t>
  </si>
  <si>
    <t>Nandini P. Shamdasani</t>
  </si>
  <si>
    <t>SE</t>
  </si>
  <si>
    <t>Full Stack Software Engineering using Java</t>
  </si>
  <si>
    <t>Data Structures and Algorithms</t>
  </si>
  <si>
    <t>13</t>
  </si>
  <si>
    <t>Course-End Assessment</t>
  </si>
  <si>
    <t>High - ShowStopper (Unable to proceed)</t>
  </si>
  <si>
    <t>I would like to escalate an issue reported by one of our learners  HARINI C  EN12025088023 PSEWJ - FULL STACK DEVELOPMENT WITH GENAI HONOURS PROGRAM regarding her course-wise performance report. The vivavoce feature is enabled from Course 3 (DSA).
The learner has received her performance report, and the viva status is showing as 0, which has significantly lowered her overall score. She has confirmed that she attended the viva, and it was recorded successfully from her end. However, in the system, the viva-voce section is displaying the message: “Evaluation failed – please check audio.”</t>
  </si>
  <si>
    <t>It is informed to the development team, they are working on the same</t>
  </si>
  <si>
    <t>No</t>
  </si>
  <si>
    <t>eadd8501-3874-495c-835b-94caefef176e</t>
  </si>
  <si>
    <t>Komilla</t>
  </si>
  <si>
    <t>1</t>
  </si>
  <si>
    <t>Sprint 1 of Power BI is very lengthy and consists of 57 slides, including topics such as downloading and installing the Power BI application. DAX functions are included in Slide 38 and Slide 45 of Sprint 1. However, no explanations are provided of these functions in Sprint-1, even though Sprint 5 and Sprint 6 are specifically dedicated to DAX. During the peer review conducted on 25 April 2025, it was discussed that: "A two-hour session allows less time for concept-introductions, Q&amp;A, transitions, and minor delays. Exceeding 45 slides can force rushed explanations, reduce engagement, and compromise clarity."</t>
  </si>
  <si>
    <t>Installing and downloading should not plan on the same day of the course start date. Sprints 11 to 15 days of the previous course should be utilized to complete this activity</t>
  </si>
  <si>
    <t>38d37f56-4070-4127-bc2c-953d4a08d6fa</t>
  </si>
  <si>
    <t>Data Analytics with GenAI (PSDAT)</t>
  </si>
  <si>
    <t>Statistical Methods and Essential Machine Learning Models</t>
  </si>
  <si>
    <t>No - Suggestions / improvements</t>
  </si>
  <si>
    <t>Bayes theorem could have been mentioned in the sprint1. It is not mentioned in Concept slides, Student guide or instructor guide.</t>
  </si>
  <si>
    <t>Intention to keep light the content, anyway in advanced course this is covered.</t>
  </si>
  <si>
    <t>7739dc41-66fb-4811-9e27-ab1c0b56ce49</t>
  </si>
  <si>
    <t>The sprint1 of this course takes 2 session to be completed as the topic is heavy and my learners are from NON IT background. Also the python scripts are to be completed. This is the current situation for DA554S55 batch.</t>
  </si>
  <si>
    <t>If I am not correct, pre-requisite of the program is basic maths in graduation or learners from IT background. If they are not, then they have to spent more time before or after session to grasp the content.</t>
  </si>
  <si>
    <t>31651106-eb19-458d-a8c8-48e9a351e927</t>
  </si>
  <si>
    <t>In slide# 17, the null hypothesis (H0) should be mu=65 kg instead of mu&lt;=65kg. The null hypothesis is usually an unbiased statement. Also if mu=65kg then only we can proceed with Z test
calculation. So it should be mu=65kg.</t>
  </si>
  <si>
    <t xml:space="preserve">mu &lt;= 65kg is replaced with "mu=65kg" </t>
  </si>
  <si>
    <t>2907edf0-47bd-4b86-bbef-659d0a9847bd</t>
  </si>
  <si>
    <t>Anjali Singhal</t>
  </si>
  <si>
    <t>7</t>
  </si>
  <si>
    <t>slide no 25 there is error , for Rati ASCII code should be 82 not 65 then only collision happen</t>
  </si>
  <si>
    <t>Correction done in slide, content send for re-scorm conversion</t>
  </si>
  <si>
    <t>9ac3e518-519f-49ab-a6ab-fe7014aac7e6</t>
  </si>
  <si>
    <t>in slide no 25, ASCII Code for Rati should be 82 not 65 then only collision will happen.</t>
  </si>
  <si>
    <t>This is a duplicate entry.</t>
  </si>
  <si>
    <t>b53bfc78-107f-49ab-9e48-fd7b2468ed09</t>
  </si>
  <si>
    <t>9</t>
  </si>
  <si>
    <t>In slide #19, the euclidean distance formula should be square(p1-p2)+square(q1-q2). Also the manhattan distance should be modulus(p1-p2)+modulus(q1-q2)</t>
  </si>
  <si>
    <t xml:space="preserve">please chcek the d(p,q) left at the = sign. which means two points 𝑝 = (𝑝1,𝑝2) and 𝑞 = (𝑞1,𝑞2). explanation of points is already provided in the note section of the slide 19. Both formulea are correct. mathematically absolute differences are written within pipe symbols. </t>
  </si>
  <si>
    <t>f0392be5-068d-41ea-8666-6424afac20bd</t>
  </si>
  <si>
    <t>Rameshwari</t>
  </si>
  <si>
    <t>Java: Object-Oriented Programming</t>
  </si>
  <si>
    <t xml:space="preserve">SprintNo 7: slide no 34 , option is in correct , it should correct answer is 3 (quick check) </t>
  </si>
  <si>
    <t>8f162748-8c19-4ec7-97df-469b1dd64b6e</t>
  </si>
  <si>
    <t>Managing and Querying Database</t>
  </si>
  <si>
    <t>SQL Gen AI -&gt;sprint3 -&gt;QuickCheck-&gt;slide no 31-&gt; change the option instead of category_id , mention the category_name</t>
  </si>
  <si>
    <t>Rakesh</t>
  </si>
  <si>
    <t>d14cd185-c409-4917-a184-0d886a55d70e</t>
  </si>
  <si>
    <t>SQLGEN AI course , sprint3-slide no 31 , change the option instead of category_id replace with category_name</t>
  </si>
  <si>
    <t>1428849c-3a7d-4350-9d52-1c9a2cf932cc</t>
  </si>
  <si>
    <t>8</t>
  </si>
  <si>
    <t>in slide no 21, we are solving expression(4*3)+5 then leaf node should be 4 and 3 . 
in slide it is 4 and 5.</t>
  </si>
  <si>
    <t>yes</t>
  </si>
  <si>
    <t>fffc52cf-d245-4443-af42-faf2b1d1207a</t>
  </si>
  <si>
    <t>in slide no 16 second explanation is wrong. it should be the number 10 is the first repeating element</t>
  </si>
  <si>
    <t>f9c0d51a-378d-4e19-b04d-67593e6c9d76</t>
  </si>
  <si>
    <t>Wrong mapping of assessment quizzes [Questions out of syllabus]: Course 2</t>
  </si>
  <si>
    <t>Divyanshu</t>
  </si>
  <si>
    <t xml:space="preserve">Capstone Project Issue: All learners worked on a single scenario </t>
  </si>
  <si>
    <t>d5c87735-1e81-4fb7-9bac-9dc41c6d97e1</t>
  </si>
  <si>
    <t>Anshumaan</t>
  </si>
  <si>
    <t>Daksh</t>
  </si>
  <si>
    <t>DM</t>
  </si>
  <si>
    <t xml:space="preserve">Digtial Marketing with Gen AI </t>
  </si>
  <si>
    <t>Capstone Project</t>
  </si>
  <si>
    <t>Complete course</t>
  </si>
  <si>
    <t>Capstone Project Issue: All learners worked on a single scenario for Capstone</t>
  </si>
  <si>
    <t xml:space="preserve">New project created - 6 market-relevant options have been introduced to learners, received positive feedback from mentors (Alok, Chhavi, Kavitha). </t>
  </si>
  <si>
    <t>4ce47f1f-c428-40de-a284-6c6ac36ceb0c</t>
  </si>
  <si>
    <t>Hrishikesh</t>
  </si>
  <si>
    <t xml:space="preserve">Not having access to the Datafiles and course content getting 404 page not found error </t>
  </si>
  <si>
    <t>All built-in datasets were used in concept demo session; no requirement of downlloading any datafile, so no link was provided. please refer solution file to understand code snippets.</t>
  </si>
  <si>
    <t>94c6d254-6c28-4367-99ec-552b1e523971</t>
  </si>
  <si>
    <t>Data Science Capstone Project</t>
  </si>
  <si>
    <t>Getting 404 page not found error not having access to the content especially the project description and project links</t>
  </si>
  <si>
    <t>Please write to VijayM; I checked, files are available and accessible.</t>
  </si>
  <si>
    <t>946c84a4-c114-4f95-904f-01a4c08f32fc</t>
  </si>
  <si>
    <t>anjali Singhal</t>
  </si>
  <si>
    <t>learners got near about 13 questions out of syllabus.
topic like graph, gdp</t>
  </si>
  <si>
    <t>Quiz was incorrectly designed. Corrections are done. It should reflect on portal</t>
  </si>
  <si>
    <t>acc84795-297a-4d6a-9d52-9e118b6fd0d9</t>
  </si>
  <si>
    <t>Build Backend Applications using Spring Boot</t>
  </si>
  <si>
    <t>Low - Formating</t>
  </si>
  <si>
    <t>L3 - Low</t>
  </si>
  <si>
    <t xml:space="preserve">Sprint 1 Setup and Run a Spring Boot Application
Slide 8 Departmnet  misspelled </t>
  </si>
  <si>
    <t>c3a33d67-ec3c-4366-bede-702a56ada897</t>
  </si>
  <si>
    <t>Sharayoo Dixit</t>
  </si>
  <si>
    <t>PGP in ML and AI (PNMLE)</t>
  </si>
  <si>
    <t>Demo scenario implementation is incorrect for building the hypothesis and creates confusion about the concept
# Scenario 1: The college sports committee claims that students are healthier and weigh less than the national average of 65 kg. To test this claim, they collect a sample of 60 students, whose average weight is 66.4 kg with a known population standard deviation σ = 10.4 kg.
# Scenario 2: A fitness coach wants to check if there's a difference in average weight between male and female students in a college. From the Height-Weight dataset, she selects 20 males and 20 females at random. Population standard deviation (σ) is unknown. μₘ represents sample mean of males and μf represents sample mean of females.</t>
  </si>
  <si>
    <t>Corrected demo slide</t>
  </si>
  <si>
    <t>482d23fc-bcf9-4306-9a29-330072ef3de5</t>
  </si>
  <si>
    <t>Programming and Scripting in Python</t>
  </si>
  <si>
    <t>Demo commands are taking more time to complete the sprint on time.</t>
  </si>
  <si>
    <t>4afa69c3-9816-457b-a942-196f140ea43e</t>
  </si>
  <si>
    <t>Programming &amp; Scripting in Python</t>
  </si>
  <si>
    <t>Demo commands are taking more time, making it difficult to complete the sprint on schedule.</t>
  </si>
  <si>
    <t>9cc32349-26c1-46e7-b2fa-10e4025bdb0c</t>
  </si>
  <si>
    <t>GNIIT</t>
  </si>
  <si>
    <t>in slide no 28 , in place of {passcode} , it should be {interest}</t>
  </si>
  <si>
    <t>d7329368-3b34-4c5f-9960-21582f0be673</t>
  </si>
  <si>
    <t>Sangeetha B</t>
  </si>
  <si>
    <t>Building Single Page Applications Using React</t>
  </si>
  <si>
    <t>11</t>
  </si>
  <si>
    <t>Practice</t>
  </si>
  <si>
    <t>C6 S11 Project boiler plate link not working</t>
  </si>
  <si>
    <t>Need to check in LMS.</t>
  </si>
  <si>
    <t>baae344f-c86a-4c15-a42a-d2bc9dfd42fb</t>
  </si>
  <si>
    <t>anjali singhal</t>
  </si>
  <si>
    <t xml:space="preserve">Apply Advanced Java Concepts – Streams and Lambdas </t>
  </si>
  <si>
    <t>on slide no 8 we have images in left image we are discussing even no but right one is containing odd logic and that is written in displayevenNumber method . based on that we need to check slide no 9 also .</t>
  </si>
  <si>
    <t>d793cbd9-a704-4afa-8135-62cb70655c63</t>
  </si>
  <si>
    <t>in slide no 28 we are implementing 1 method findstudent that method is using students list but student is having confusion from where that list is coming .
Please suggest what we can do.</t>
  </si>
  <si>
    <t>b055f21f-e1df-4b7b-a126-9ab3b7b8e0ca</t>
  </si>
  <si>
    <t>in viva-voice question we got question on Greedy and Dynamic programming</t>
  </si>
  <si>
    <t>e48b2885-0e1c-4794-992b-54ab2e91daad</t>
  </si>
  <si>
    <t xml:space="preserve">  Anjali singhal</t>
  </si>
  <si>
    <t>4</t>
  </si>
  <si>
    <t>in slide no 9 output screen sort is inappropriate as there is no rollno as per the code given in right hand side</t>
  </si>
  <si>
    <t>f9058a93-6555-46ab-a42f-172e8f70be1e</t>
  </si>
  <si>
    <t>10</t>
  </si>
  <si>
    <t>in slide no 12 , they are asking first 3 days data but we are getting only 2 days.
same error is in the demo1-create-manipute-1d-array also.</t>
  </si>
  <si>
    <t>e62837a5-c111-4576-99a6-d54754cf78be</t>
  </si>
  <si>
    <t>In Course Programming using Python, I observed that the sprint numbers in RaaS do not align with those in the LMS. Specifically, Sprint 9 and Sprint 10 seem to have been swapped.</t>
  </si>
  <si>
    <t>2086ee0a-3d42-4561-a212-802ce9a6302f</t>
  </si>
  <si>
    <t>DAX queries are taking lot time to execute it during the session and eventually not able to complete the specified content on time</t>
  </si>
  <si>
    <t>Keep all DAX formulas ready in a Notepad before the session. During the session, copy-paste the formulas into Power BI and explain the logic. This saves time and ensures learners do not miss important concepts due to slow query execution. Share this notepad among learners before start your session.</t>
  </si>
  <si>
    <t>3b61d18f-4429-47e3-ad49-afa6330b3935</t>
  </si>
  <si>
    <t xml:space="preserve">Learner using Mac operating system facing problem while installing PowerBI on the virtual machine. Facing problem to complete the assignments as the PowerBI takes lot of time to load the datafiles.
</t>
  </si>
  <si>
    <t>Power BI Desktop cannot be installed directly on Mac.
Use Power BI Service (Web Version)
Open: https://app.powerbi.com
Works in Safari / Chrome / Edge on Mac.
It has similar interface as PowerBI Desktop has.
But it has limited features compared to Desktop.</t>
  </si>
  <si>
    <t>ade8eff9-3977-401f-a2d9-be34cfeed17c</t>
  </si>
  <si>
    <t>Building Responsive and Interactive Web Pages</t>
  </si>
  <si>
    <t xml:space="preserve">in slide no 28 assignment operator summary is not correct.
</t>
  </si>
  <si>
    <t>Hushnoon</t>
  </si>
  <si>
    <t>f726dbe6-0f7a-46d9-8019-39feef279abc</t>
  </si>
  <si>
    <t>in slide no 31 not equal operator is not explained properly .</t>
  </si>
  <si>
    <t>7337b297-9eb0-4a1c-b091-a30bceaa7318</t>
  </si>
  <si>
    <t xml:space="preserve">slides 33 slides notes are overlapping. </t>
  </si>
  <si>
    <t>Requested Himmanhu to check and fix</t>
  </si>
  <si>
    <t>504c9368-325e-4b27-ab3d-cb26e09319ee</t>
  </si>
  <si>
    <t xml:space="preserve">Practice &amp; practice brief  boilerplate link is not working </t>
  </si>
  <si>
    <t>71528365-2610-4462-8b3f-04f8bf9d0eeb</t>
  </si>
  <si>
    <t>c8877741-bf17-495f-ac21-b3939ec49752</t>
  </si>
  <si>
    <t>Practice Brief</t>
  </si>
  <si>
    <t>slide no 7 has the overlapping unable to see the project link and topic properly.</t>
  </si>
  <si>
    <t>0fd54934-a8bc-4b59-b87e-43a659952a08</t>
  </si>
  <si>
    <t>Priya Shanmugam</t>
  </si>
  <si>
    <t>Medium - Workaround Available</t>
  </si>
  <si>
    <t xml:space="preserve">Calculated Measure : Tax Amount = [Amount] * 
SWITCH(RELATED(Bookings[Booking Duration]),    1, 0.05,    2, 0.08,    3, 0.10,    4, 0.12,    0)
This is given the concept solution. But the percentage would become ZERO if the booking duration is more than 4. So, I used the following formula in my class. 
Tax_Amount =
[Amount] *
SWITCH(
    TRUE(),
    RELATED(Bookings[Booking Duration]) = 1, 0.05,
    RELATED(Bookings[Booking Duration]) = 2, 0.08,
    RELATED(Bookings[Booking Duration]) = 3, 0.10,
    RELATED(Bookings[Booking Duration]) &gt;= 4, 0.12
)
</t>
  </si>
  <si>
    <t>we are considering this to include into the next version of the course.</t>
  </si>
  <si>
    <t>5c175dac-2cb2-4278-98d1-2a3ddfc7ff97</t>
  </si>
  <si>
    <t>calculated measure: DAX formula given in the concept solution 
Booking Growth Rate = 
VAR CurrentBookings = [#Bookings]
 VAR PreviousBookings = CALCULATE([#Bookings], DATEADD('Date'[Date], -1, YEAR)) 
 RETURN 
 IF( NOT ISBLANK(PreviousBookings), DIVIDE(CurrentBookings - PreviousBookings, PreviousBookings, 0), BLANK() )
According to this measure, the total no. of bookings of all the years is taken as current bookings and only the previous year is taken for previous Bookings. And the KPI visual created using this measure shows 4.07 
Actual record: Total bookings = 30000, Bookings in 2025 = 5920, Bookings in 2024 = 24080. So there should be a decline in growth rate. 
So, I used this formula in my session.
Booking Growth Rate_modified = 
VAR CurrentYear = MAX('Date'[Year])
VAR CurrentBookings =
    CALCULATE(
        [#Bookings],
        'Date'[Year] = CurrentYear
    )
VAR PreviousBookings =
    CALCULATE(
        [#Bookings],
        'Date'[Year] = CurrentYear - 1
    )
RETURN
DIVIDE(CurrentBookings - PreviousBookings, PreviousBookings). This gave me a growth rate as -0.75.
I checked it using a line chart as well. So there is a sharp decline in #Bookings. 
If my suggestion is accepted then similar changes should be made for Rental Price Variation, Revenue Growth Rate measures also.</t>
  </si>
  <si>
    <t>a5e54c0a-2dcc-441d-82fc-d2c6e0333e6f</t>
  </si>
  <si>
    <t xml:space="preserve">Rajeswar
</t>
  </si>
  <si>
    <t>Found below question and answers in Coruse End Assessment
What's the key difference between these queries:
A. First filters individual salaries, second filters group averages
B. The produce the same results
C. Second query is invalid
D. First query is invalid</t>
  </si>
  <si>
    <t>7751a9a1-32dd-4581-a456-758e2027e602</t>
  </si>
  <si>
    <t>nvalliamb@gmail.com</t>
  </si>
  <si>
    <t>valli n</t>
  </si>
  <si>
    <t xml:space="preserve"> Data Storytelling and Visualization</t>
  </si>
  <si>
    <t>Concept Quiz</t>
  </si>
  <si>
    <t>The if condition is not covered in concept session. It is being asked in Concept quiz.</t>
  </si>
  <si>
    <t>This is expected learners have basics of Excel, though we are considering this to include into the next version of the course.</t>
  </si>
  <si>
    <t>95158e03-beb8-459e-a613-52176192fe00</t>
  </si>
  <si>
    <t>saravanan.1.p@niit.com</t>
  </si>
  <si>
    <t>Saravanan P</t>
  </si>
  <si>
    <t>AI</t>
  </si>
  <si>
    <t>Agentic AI</t>
  </si>
  <si>
    <t>Build Autonomous Multi Agent Systems</t>
  </si>
  <si>
    <t>slide 7/13 - Hyper link forwards to Course 3 project details instead of Course 4 project  details.</t>
  </si>
  <si>
    <t>737cdc90-9d6b-48c6-bfc7-c8eb2b9b97d1</t>
  </si>
  <si>
    <t>One of our B1 learners has raised a concern regarding the AI-based evaluation of the C4 – S9 assignment. Although all required files, including the LiteLLM configuration, were correctly submitted, the AI evaluator repeatedly flagged these files as “not present” and marked them as critical issues.
As a result, the learner was asked to resubmit the assignment multiple times, causing unnecessary confusion and delay.
We request your support to:
Review the AI evaluation criteria and validation logic
Identify why existing files are being flagged as missing
Suggest a permanent solution to prevent repeated resubmissions for correct submissions
Kindly look into this issue at the earliest and let us know the next steps.</t>
  </si>
  <si>
    <t>236983a4-e33a-4ba0-b53a-02966ee7986a</t>
  </si>
  <si>
    <t>hema.v@stackroute.in</t>
  </si>
  <si>
    <t>Hema Anand v</t>
  </si>
  <si>
    <t>Build RAG based Systems</t>
  </si>
  <si>
    <t>2</t>
  </si>
  <si>
    <t>Demo 2 is including querying task which is not aligned to the sprint title - ingestion pipeline. We can just use database command to verify the embeddings</t>
  </si>
  <si>
    <t>e8004a5c-2635-49b5-86d6-1c3e9e0577bd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</si>
</sst>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d\-mmm\-yy;@"/>
    <numFmt numFmtId="165" formatCode="[$-409]d\-mmm\-yyyy;@"/>
    <numFmt numFmtId="166" formatCode="[$-409]d\-mmm\-yy;@"/>
    <numFmt numFmtId="167" formatCode="[$-F400]h:mm:ss\ AM/PM"/>
  </numFmts>
  <fonts count="2">
    <font>
      <sz val="11"/>
      <color theme="1"/>
      <name val="Calibri"/>
      <family val="2"/>
      <scheme val="minor"/>
    </font>
    <font>
      <sz val="11"/>
      <color rgb="FF242424"/>
      <name val="Aptos Narrow"/>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1"/>
    <xf numFmtId="0" fontId="0" fillId="0" borderId="0" xfId="0" applyAlignment="1">
      <alignment wrapText="1"/>
    </xf>
    <xf numFmtId="165" fontId="0" fillId="0" borderId="0" xfId="0" applyNumberFormat="1"/>
    <xf numFmtId="49" fontId="0" fillId="0" borderId="0" xfId="0" applyNumberFormat="1"/>
    <xf numFmtId="49" fontId="0" fillId="0" borderId="0" xfId="0" quotePrefix="1" applyNumberFormat="1"/>
    <xf numFmtId="49" fontId="0" fillId="0" borderId="0" xfId="0" applyNumberFormat="1" applyAlignment="1">
      <alignment wrapText="1"/>
    </xf>
    <xf numFmtId="15" fontId="0" fillId="0" borderId="0" xfId="0" applyNumberFormat="1"/>
    <xf numFmtId="166" fontId="0" fillId="0" borderId="0" xfId="0" applyNumberFormat="1"/>
    <xf numFmtId="167" fontId="0" fillId="0" borderId="0" xfId="0" applyNumberFormat="1"/>
    <xf numFmtId="16" fontId="0" fillId="0" borderId="0" xfId="0" applyNumberFormat="1"/>
    <xf numFmtId="14" fontId="0" fillId="0" borderId="0" xfId="0" applyNumberFormat="1"/>
    <xf numFmtId="0" fontId="0" fillId="2" borderId="0" xfId="0" applyFill="1"/>
    <xf numFmtId="166" fontId="0" fillId="2" borderId="0" xfId="0" applyNumberFormat="1" applyFill="1"/>
    <xf numFmtId="49" fontId="0" fillId="2" borderId="0" xfId="0" applyNumberFormat="1" applyFill="1"/>
    <xf numFmtId="49" fontId="0" fillId="2" borderId="0" xfId="0" applyNumberFormat="1" applyFill="1" applyAlignment="1">
      <alignment wrapText="1"/>
    </xf>
    <xf numFmtId="49" fontId="0" fillId="2" borderId="0" xfId="0" quotePrefix="1" applyNumberFormat="1" applyFill="1"/>
    <xf numFmtId="165" fontId="0" fillId="2" borderId="0" xfId="0" applyNumberFormat="1" applyFill="1"/>
    <xf numFmtId="14" fontId="0" fillId="2" borderId="0" xfId="0" applyNumberFormat="1" applyFill="1"/>
    <xf numFmtId="0" fontId="1" fillId="0" borderId="0" xfId="0" applyFont="1"/>
  </cellXfs>
  <cellStyles count="1">
    <cellStyle name="Normal" xfId="0" builtinId="0"/>
  </cellStyles>
  <dxfs count="25">
    <dxf>
      <numFmt numFmtId="30" formatCode="@"/>
      <alignment wrapText="0"/>
    </dxf>
    <dxf>
      <numFmt numFmtId="30" formatCode="@"/>
      <alignment wrapText="0"/>
    </dxf>
    <dxf>
      <numFmt numFmtId="0" formatCode="General"/>
    </dxf>
    <dxf>
      <numFmt numFmtId="30" formatCode="@"/>
      <alignment wrapText="0"/>
    </dxf>
    <dxf>
      <numFmt numFmtId="30" formatCode="@"/>
      <alignment wrapText="0"/>
    </dxf>
    <dxf>
      <alignment wrapText="0"/>
    </dxf>
    <dxf>
      <numFmt numFmtId="30" formatCode="@"/>
      <alignment wrapText="0"/>
    </dxf>
    <dxf>
      <numFmt numFmtId="30" formatCode="@"/>
      <alignment wrapText="0"/>
    </dxf>
    <dxf>
      <numFmt numFmtId="30" formatCode="@"/>
      <alignment wrapText="0"/>
    </dxf>
    <dxf>
      <numFmt numFmtId="30" formatCode="@"/>
      <alignment wrapText="0"/>
    </dxf>
    <dxf>
      <numFmt numFmtId="30" formatCode="@"/>
      <alignment wrapText="0"/>
    </dxf>
    <dxf>
      <numFmt numFmtId="165" formatCode="[$-409]d\-mmm\-yyyy;@"/>
      <alignment wrapText="0"/>
    </dxf>
    <dxf>
      <numFmt numFmtId="30" formatCode="@"/>
      <alignment wrapText="0"/>
    </dxf>
    <dxf>
      <numFmt numFmtId="30" formatCode="@"/>
      <alignment wrapText="0"/>
    </dxf>
    <dxf>
      <numFmt numFmtId="30" formatCode="@"/>
      <alignment wrapText="0"/>
    </dxf>
    <dxf>
      <numFmt numFmtId="0" formatCode="General"/>
      <alignment wrapText="0"/>
    </dxf>
    <dxf>
      <numFmt numFmtId="30" formatCode="@"/>
      <alignment wrapText="0"/>
    </dxf>
    <dxf>
      <numFmt numFmtId="0" formatCode="General"/>
    </dxf>
    <dxf>
      <numFmt numFmtId="30" formatCode="@"/>
      <alignment wrapText="0"/>
    </dxf>
    <dxf>
      <numFmt numFmtId="30" formatCode="@"/>
      <alignment wrapText="0"/>
    </dxf>
    <dxf>
      <alignment wrapText="0"/>
    </dxf>
    <dxf>
      <alignment wrapText="0"/>
    </dxf>
    <dxf>
      <numFmt numFmtId="0" formatCode="General"/>
      <alignment wrapText="0"/>
    </dxf>
    <dxf>
      <alignment wrapText="0"/>
    </dxf>
    <dxf>
      <alignment wrapText="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1CEB42-5C97-47E1-8243-F0F16E863930}" name="IssueTracker" displayName="IssueTracker" ref="A1:W49" totalsRowShown="0" headerRowDxfId="24" dataDxfId="23">
  <autoFilter ref="A1:W49" xr:uid="{D41CEB42-5C97-47E1-8243-F0F16E863930}"/>
  <tableColumns count="23">
    <tableColumn id="1" xr3:uid="{8C4221D2-4F09-4D27-8835-AB8BE4BA6515}" name="Id" dataDxfId="22"/>
    <tableColumn id="2" xr3:uid="{4F223F89-C0FB-47B6-BF96-E9A26D890928}" name="Start time" dataDxfId="21"/>
    <tableColumn id="3" xr3:uid="{3265D9A9-782B-45F6-B05B-BFD4D6F521B0}" name="Completion time" dataDxfId="20"/>
    <tableColumn id="4" xr3:uid="{A47222F4-7B4C-4E26-B311-B264124255C2}" name="Email" dataDxfId="19"/>
    <tableColumn id="5" xr3:uid="{C2F36EC5-C25A-413F-9632-009A3E232BEB}" name="Name" dataDxfId="18"/>
    <tableColumn id="20" xr3:uid="{1738F144-51D2-465E-AB08-9B947516AD88}" name="Email ID" dataDxfId="17"/>
    <tableColumn id="6" xr3:uid="{09ADA16F-C54B-4DD8-BE73-77CEA69DB325}" name="Mentor Name" dataDxfId="16"/>
    <tableColumn id="19" xr3:uid="{FDED3424-320D-4D8B-B242-9118601C63B2}" name="Track" dataDxfId="15"/>
    <tableColumn id="7" xr3:uid="{1315A419-1DA6-4761-BC8B-4EDC7910CA92}" name="Program Name" dataDxfId="14"/>
    <tableColumn id="8" xr3:uid="{F24F8A24-444C-4F55-AC94-A26E61559977}" name="Course Name" dataDxfId="13"/>
    <tableColumn id="9" xr3:uid="{A7A32C5D-4F50-4E0E-89E3-BEB4501F9BF6}" name="Sprint Number" dataDxfId="12"/>
    <tableColumn id="10" xr3:uid="{7C3A3481-F23F-4D7C-9ECF-567A396484F5}" name="Issue Logged On" dataDxfId="11"/>
    <tableColumn id="11" xr3:uid="{F93563F4-008E-4EA2-A9F6-9C0F1D12E1AA}" name="Learning Activity" dataDxfId="10"/>
    <tableColumn id="12" xr3:uid="{08661706-DAE6-4ADB-86C9-89EEE65D9630}" name="Type of Defect" dataDxfId="9"/>
    <tableColumn id="13" xr3:uid="{0346D6C0-AE95-47BA-AA62-F75C2E7C6C7D}" name="Priority of Defect" dataDxfId="8"/>
    <tableColumn id="14" xr3:uid="{E4C481BE-4483-48A9-A6E8-DCF3D64AC053}" name="Issue / Defect Exact Details" dataDxfId="7"/>
    <tableColumn id="15" xr3:uid="{5169EB29-41FE-4EC7-9D85-25EC6492BB63}" name="Issue Resolved By" dataDxfId="6"/>
    <tableColumn id="16" xr3:uid="{E27513B3-D280-4E96-A9D8-E1F26268684E}" name="Date of Resolution" dataDxfId="5"/>
    <tableColumn id="17" xr3:uid="{7B7A8D8D-ADF0-422D-BA78-376F6DA1EBA9}" name="Resolution Details" dataDxfId="4"/>
    <tableColumn id="18" xr3:uid="{3648C978-B74A-48D8-83F8-A7536ABEE9C3}" name="Resolution Uploaded on LMS" dataDxfId="3"/>
    <tableColumn id="21" xr3:uid="{0F645CF7-10A7-414F-87A0-C8145B2417FA}" name="Is Issue Closed? (Delivery Team Confirmation)" dataDxfId="2"/>
    <tableColumn id="22" xr3:uid="{84AA815D-B62F-4DA1-8AAE-CC9A306CBECC}" name="TAT" dataDxfId="1">
      <calculatedColumnFormula>#REF!-#REF!</calculatedColumnFormula>
    </tableColumn>
    <tableColumn id="23" xr3:uid="{B37CF63A-1A29-41EE-9136-03783B25D949}" name="__PowerAppsId_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9"/>
  <sheetViews>
    <sheetView tabSelected="1" workbookViewId="0">
      <selection sqref="A1:Z49"/>
    </sheetView>
  </sheetViews>
  <sheetFormatPr defaultRowHeight="15"/>
  <cols>
    <col min="1" max="5" width="20" bestFit="1" customWidth="1"/>
    <col min="6" max="6" width="18.5703125" customWidth="1"/>
    <col min="7" max="7" width="19" customWidth="1"/>
    <col min="8" max="8" width="27" bestFit="1" customWidth="1"/>
    <col min="9" max="9" width="32.5703125" customWidth="1"/>
    <col min="10" max="10" width="36.5703125" bestFit="1" customWidth="1"/>
    <col min="11" max="11" width="26.7109375" bestFit="1" customWidth="1"/>
    <col min="12" max="14" width="20" bestFit="1" customWidth="1"/>
    <col min="15" max="15" width="36.5703125" bestFit="1" customWidth="1"/>
    <col min="16" max="16" width="65" customWidth="1"/>
    <col min="17" max="17" width="20" bestFit="1" customWidth="1"/>
    <col min="18" max="18" width="36.5703125" bestFit="1" customWidth="1"/>
    <col min="19" max="19" width="25.5703125" customWidth="1"/>
    <col min="20" max="20" width="46" customWidth="1"/>
    <col min="21" max="21" width="36.5703125" bestFit="1" customWidth="1"/>
  </cols>
  <sheetData>
    <row r="1" spans="1:23">
      <c r="A1" t="s">
        <v>0</v>
      </c>
      <c r="B1" s="1" t="s">
        <v>1</v>
      </c>
      <c r="C1" s="1" t="s">
        <v>2</v>
      </c>
      <c r="D1" t="s">
        <v>3</v>
      </c>
      <c r="E1" t="s">
        <v>4</v>
      </c>
      <c r="F1" t="s">
        <v>5</v>
      </c>
      <c r="G1" t="s">
        <v>6</v>
      </c>
      <c r="H1" t="s">
        <v>7</v>
      </c>
      <c r="I1" t="s">
        <v>8</v>
      </c>
      <c r="J1" s="2" t="s">
        <v>9</v>
      </c>
      <c r="K1" t="s">
        <v>10</v>
      </c>
      <c r="L1" s="3" t="s">
        <v>11</v>
      </c>
      <c r="M1" t="s">
        <v>12</v>
      </c>
      <c r="N1" t="s">
        <v>13</v>
      </c>
      <c r="O1" t="s">
        <v>14</v>
      </c>
      <c r="P1" s="2" t="s">
        <v>15</v>
      </c>
      <c r="Q1" t="s">
        <v>16</v>
      </c>
      <c r="R1" t="s">
        <v>17</v>
      </c>
      <c r="S1" s="2" t="s">
        <v>18</v>
      </c>
      <c r="T1" s="2" t="s">
        <v>19</v>
      </c>
      <c r="U1" t="s">
        <v>20</v>
      </c>
      <c r="V1" t="s">
        <v>21</v>
      </c>
      <c r="W1" t="s">
        <v>22</v>
      </c>
    </row>
    <row r="2" spans="1:23" ht="30.75">
      <c r="A2">
        <v>2</v>
      </c>
      <c r="B2" s="1">
        <v>46009.633460648103</v>
      </c>
      <c r="C2" s="1">
        <v>46009.636863425898</v>
      </c>
      <c r="D2" s="4" t="s">
        <v>23</v>
      </c>
      <c r="E2" s="4"/>
      <c r="G2" s="4" t="s">
        <v>24</v>
      </c>
      <c r="H2" t="s">
        <v>25</v>
      </c>
      <c r="I2" s="4" t="s">
        <v>26</v>
      </c>
      <c r="J2" s="4" t="s">
        <v>27</v>
      </c>
      <c r="K2" s="5" t="s">
        <v>28</v>
      </c>
      <c r="L2" s="3">
        <v>46009</v>
      </c>
      <c r="M2" s="4" t="s">
        <v>29</v>
      </c>
      <c r="N2" s="4" t="s">
        <v>30</v>
      </c>
      <c r="O2" s="4" t="s">
        <v>31</v>
      </c>
      <c r="P2" s="6" t="s">
        <v>32</v>
      </c>
      <c r="Q2" s="4" t="s">
        <v>33</v>
      </c>
      <c r="R2" s="7">
        <v>46003</v>
      </c>
      <c r="S2" s="4" t="s">
        <v>34</v>
      </c>
      <c r="T2" s="4" t="s">
        <v>35</v>
      </c>
      <c r="U2" t="s">
        <v>36</v>
      </c>
      <c r="V2" s="4" t="e" vm="1">
        <f>#REF!-#REF!</f>
        <v>#REF!</v>
      </c>
      <c r="W2" s="4" t="s">
        <v>37</v>
      </c>
    </row>
    <row r="3" spans="1:23" ht="244.5">
      <c r="A3">
        <v>3</v>
      </c>
      <c r="B3" s="1">
        <v>46009.639629629601</v>
      </c>
      <c r="C3" s="1">
        <v>46009.640925925902</v>
      </c>
      <c r="D3" s="4" t="s">
        <v>23</v>
      </c>
      <c r="E3" s="4"/>
      <c r="G3" s="4" t="s">
        <v>24</v>
      </c>
      <c r="H3" t="s">
        <v>25</v>
      </c>
      <c r="I3" s="4" t="s">
        <v>26</v>
      </c>
      <c r="J3" s="4" t="s">
        <v>27</v>
      </c>
      <c r="K3" s="5" t="s">
        <v>38</v>
      </c>
      <c r="L3" s="3">
        <v>46009</v>
      </c>
      <c r="M3" s="4" t="s">
        <v>29</v>
      </c>
      <c r="N3" s="4" t="s">
        <v>39</v>
      </c>
      <c r="O3" s="4" t="s">
        <v>31</v>
      </c>
      <c r="P3" s="4" t="s">
        <v>40</v>
      </c>
      <c r="Q3" s="4" t="s">
        <v>33</v>
      </c>
      <c r="R3" s="7">
        <v>46003</v>
      </c>
      <c r="S3" s="6" t="s">
        <v>34</v>
      </c>
      <c r="T3" s="4" t="s">
        <v>35</v>
      </c>
      <c r="U3" t="s">
        <v>36</v>
      </c>
      <c r="V3" s="4" t="e" vm="1">
        <f>#REF!-#REF!</f>
        <v>#REF!</v>
      </c>
      <c r="W3" s="4" t="s">
        <v>41</v>
      </c>
    </row>
    <row r="4" spans="1:23" ht="45.75">
      <c r="A4">
        <v>4</v>
      </c>
      <c r="B4" s="1">
        <v>46009.641585648104</v>
      </c>
      <c r="C4" s="1">
        <v>46009.642812500002</v>
      </c>
      <c r="D4" s="4" t="s">
        <v>23</v>
      </c>
      <c r="E4" s="4"/>
      <c r="G4" s="4" t="s">
        <v>24</v>
      </c>
      <c r="H4" t="s">
        <v>25</v>
      </c>
      <c r="I4" s="4" t="s">
        <v>26</v>
      </c>
      <c r="J4" s="4" t="s">
        <v>27</v>
      </c>
      <c r="K4" s="5" t="s">
        <v>42</v>
      </c>
      <c r="L4" s="3">
        <v>46009</v>
      </c>
      <c r="M4" s="4" t="s">
        <v>29</v>
      </c>
      <c r="N4" s="4" t="s">
        <v>39</v>
      </c>
      <c r="O4" s="4" t="s">
        <v>43</v>
      </c>
      <c r="P4" s="6" t="s">
        <v>44</v>
      </c>
      <c r="Q4" s="4" t="s">
        <v>33</v>
      </c>
      <c r="R4" s="7">
        <v>46028</v>
      </c>
      <c r="S4" s="6" t="s">
        <v>45</v>
      </c>
      <c r="T4" s="4" t="s">
        <v>36</v>
      </c>
      <c r="U4" t="s">
        <v>36</v>
      </c>
      <c r="V4" s="4" t="e" vm="1">
        <f>#REF!-#REF!</f>
        <v>#REF!</v>
      </c>
      <c r="W4" s="4" t="s">
        <v>46</v>
      </c>
    </row>
    <row r="5" spans="1:23" ht="152.25">
      <c r="A5">
        <v>5</v>
      </c>
      <c r="B5" s="8">
        <v>46014.542592592603</v>
      </c>
      <c r="C5" s="9">
        <v>46014.545289351903</v>
      </c>
      <c r="D5" s="4" t="s">
        <v>23</v>
      </c>
      <c r="E5" s="4"/>
      <c r="G5" s="4" t="s">
        <v>47</v>
      </c>
      <c r="H5" t="s">
        <v>48</v>
      </c>
      <c r="I5" s="4" t="s">
        <v>49</v>
      </c>
      <c r="J5" s="6" t="s">
        <v>50</v>
      </c>
      <c r="K5" s="5" t="s">
        <v>51</v>
      </c>
      <c r="L5" s="3">
        <v>45991</v>
      </c>
      <c r="M5" s="4" t="s">
        <v>52</v>
      </c>
      <c r="N5" s="4" t="s">
        <v>53</v>
      </c>
      <c r="O5" s="4" t="s">
        <v>31</v>
      </c>
      <c r="P5" s="6" t="s">
        <v>54</v>
      </c>
      <c r="Q5" s="4" t="s">
        <v>33</v>
      </c>
      <c r="R5" s="7">
        <v>46028</v>
      </c>
      <c r="S5" s="6" t="s">
        <v>55</v>
      </c>
      <c r="T5" s="4" t="s">
        <v>56</v>
      </c>
      <c r="U5" t="s">
        <v>56</v>
      </c>
      <c r="V5" s="4" t="e" vm="1">
        <f>#REF!-#REF!</f>
        <v>#REF!</v>
      </c>
      <c r="W5" s="4" t="s">
        <v>57</v>
      </c>
    </row>
    <row r="6" spans="1:23">
      <c r="A6">
        <v>6</v>
      </c>
      <c r="B6" s="1">
        <v>46017.490671296298</v>
      </c>
      <c r="C6" s="1">
        <v>46017.533425925903</v>
      </c>
      <c r="D6" s="4" t="s">
        <v>23</v>
      </c>
      <c r="E6" s="4"/>
      <c r="G6" s="4" t="s">
        <v>58</v>
      </c>
      <c r="H6" t="s">
        <v>25</v>
      </c>
      <c r="I6" s="4" t="s">
        <v>26</v>
      </c>
      <c r="J6" s="4" t="s">
        <v>27</v>
      </c>
      <c r="K6" s="5" t="s">
        <v>59</v>
      </c>
      <c r="L6" s="3">
        <v>46017</v>
      </c>
      <c r="M6" s="4" t="s">
        <v>29</v>
      </c>
      <c r="N6" s="4" t="s">
        <v>30</v>
      </c>
      <c r="O6" s="4" t="s">
        <v>31</v>
      </c>
      <c r="P6" s="4" t="s">
        <v>60</v>
      </c>
      <c r="Q6" s="4" t="s">
        <v>33</v>
      </c>
      <c r="R6" s="7">
        <v>46027</v>
      </c>
      <c r="S6" s="4" t="s">
        <v>61</v>
      </c>
      <c r="T6" s="4" t="s">
        <v>35</v>
      </c>
      <c r="U6" t="s">
        <v>36</v>
      </c>
      <c r="V6" s="4" t="e" vm="1">
        <f>#REF!-#REF!</f>
        <v>#REF!</v>
      </c>
      <c r="W6" s="4" t="s">
        <v>62</v>
      </c>
    </row>
    <row r="7" spans="1:23" ht="30.75">
      <c r="A7">
        <v>7</v>
      </c>
      <c r="B7" s="1">
        <v>46021.696712962999</v>
      </c>
      <c r="C7" s="1">
        <v>46021.698275463001</v>
      </c>
      <c r="D7" s="4" t="s">
        <v>23</v>
      </c>
      <c r="E7" s="4"/>
      <c r="G7" s="4" t="s">
        <v>24</v>
      </c>
      <c r="H7" t="s">
        <v>25</v>
      </c>
      <c r="I7" s="4" t="s">
        <v>63</v>
      </c>
      <c r="J7" s="6" t="s">
        <v>64</v>
      </c>
      <c r="K7" s="5" t="s">
        <v>59</v>
      </c>
      <c r="L7" s="3">
        <v>46021</v>
      </c>
      <c r="M7" s="4" t="s">
        <v>29</v>
      </c>
      <c r="N7" s="4" t="s">
        <v>65</v>
      </c>
      <c r="O7" s="4" t="s">
        <v>31</v>
      </c>
      <c r="P7" s="4" t="s">
        <v>66</v>
      </c>
      <c r="Q7" s="4" t="s">
        <v>33</v>
      </c>
      <c r="R7" s="7">
        <v>46027</v>
      </c>
      <c r="S7" s="4" t="s">
        <v>67</v>
      </c>
      <c r="T7" s="4" t="s">
        <v>35</v>
      </c>
      <c r="U7" t="s">
        <v>36</v>
      </c>
      <c r="V7" s="4" t="e" vm="1">
        <f>#REF!-#REF!</f>
        <v>#REF!</v>
      </c>
      <c r="W7" s="4" t="s">
        <v>68</v>
      </c>
    </row>
    <row r="8" spans="1:23">
      <c r="A8">
        <v>8</v>
      </c>
      <c r="B8" s="1">
        <v>46024.739826388897</v>
      </c>
      <c r="C8" s="1">
        <v>46024.7425925926</v>
      </c>
      <c r="D8" s="4" t="s">
        <v>23</v>
      </c>
      <c r="E8" s="4"/>
      <c r="G8" s="4" t="s">
        <v>24</v>
      </c>
      <c r="H8" t="s">
        <v>25</v>
      </c>
      <c r="I8" s="4" t="s">
        <v>63</v>
      </c>
      <c r="J8" s="4" t="s">
        <v>64</v>
      </c>
      <c r="K8" s="5" t="s">
        <v>59</v>
      </c>
      <c r="L8" s="3">
        <v>46024</v>
      </c>
      <c r="M8" s="4" t="s">
        <v>29</v>
      </c>
      <c r="N8" s="4" t="s">
        <v>30</v>
      </c>
      <c r="O8" s="4" t="s">
        <v>43</v>
      </c>
      <c r="P8" s="4" t="s">
        <v>69</v>
      </c>
      <c r="Q8" s="4" t="s">
        <v>33</v>
      </c>
      <c r="R8" s="7">
        <v>46027</v>
      </c>
      <c r="S8" s="4" t="s">
        <v>70</v>
      </c>
      <c r="T8" s="4" t="s">
        <v>35</v>
      </c>
      <c r="U8" t="s">
        <v>36</v>
      </c>
      <c r="V8" s="4" t="e" vm="1">
        <f>#REF!-#REF!</f>
        <v>#REF!</v>
      </c>
      <c r="W8" s="4" t="s">
        <v>71</v>
      </c>
    </row>
    <row r="9" spans="1:23" ht="60.75">
      <c r="A9">
        <v>9</v>
      </c>
      <c r="B9" s="1">
        <v>46030.610254629602</v>
      </c>
      <c r="C9" s="1">
        <v>46030.612962963001</v>
      </c>
      <c r="D9" s="4" t="s">
        <v>23</v>
      </c>
      <c r="E9" s="4"/>
      <c r="G9" s="4" t="s">
        <v>24</v>
      </c>
      <c r="H9" t="s">
        <v>25</v>
      </c>
      <c r="I9" s="4" t="s">
        <v>63</v>
      </c>
      <c r="J9" s="4" t="s">
        <v>64</v>
      </c>
      <c r="K9" s="5" t="s">
        <v>42</v>
      </c>
      <c r="L9" s="3">
        <v>46030</v>
      </c>
      <c r="M9" s="4" t="s">
        <v>29</v>
      </c>
      <c r="N9" s="4" t="s">
        <v>39</v>
      </c>
      <c r="O9" s="4" t="s">
        <v>31</v>
      </c>
      <c r="P9" s="6" t="s">
        <v>72</v>
      </c>
      <c r="Q9" s="4" t="s">
        <v>33</v>
      </c>
      <c r="R9" s="7">
        <v>46049</v>
      </c>
      <c r="S9" s="4" t="s">
        <v>73</v>
      </c>
      <c r="T9" s="4" t="s">
        <v>36</v>
      </c>
      <c r="U9" t="s">
        <v>36</v>
      </c>
      <c r="V9" s="4" t="e" vm="1">
        <f>#REF!-#REF!</f>
        <v>#REF!</v>
      </c>
      <c r="W9" s="4" t="s">
        <v>74</v>
      </c>
    </row>
    <row r="10" spans="1:23" ht="45.75">
      <c r="A10">
        <v>10</v>
      </c>
      <c r="B10" s="8">
        <v>46042.510694444398</v>
      </c>
      <c r="C10">
        <v>46042.513773148203</v>
      </c>
      <c r="D10" s="4" t="s">
        <v>23</v>
      </c>
      <c r="E10" s="4"/>
      <c r="G10" s="4" t="s">
        <v>75</v>
      </c>
      <c r="H10" t="s">
        <v>48</v>
      </c>
      <c r="I10" s="4" t="s">
        <v>49</v>
      </c>
      <c r="J10" s="6" t="s">
        <v>50</v>
      </c>
      <c r="K10" s="5" t="s">
        <v>76</v>
      </c>
      <c r="L10" s="3">
        <v>46042</v>
      </c>
      <c r="M10" s="4" t="s">
        <v>29</v>
      </c>
      <c r="N10" s="4" t="s">
        <v>53</v>
      </c>
      <c r="O10" s="4" t="s">
        <v>31</v>
      </c>
      <c r="P10" s="6" t="s">
        <v>77</v>
      </c>
      <c r="Q10" s="4"/>
      <c r="R10" s="10">
        <v>46049</v>
      </c>
      <c r="S10" s="6" t="s">
        <v>78</v>
      </c>
      <c r="T10" s="4"/>
      <c r="V10" s="4" t="e" vm="1">
        <f>#REF!-#REF!</f>
        <v>#REF!</v>
      </c>
      <c r="W10" s="4" t="s">
        <v>79</v>
      </c>
    </row>
    <row r="11" spans="1:23" ht="30.75">
      <c r="A11">
        <v>11</v>
      </c>
      <c r="B11" s="8">
        <v>46042.5157638889</v>
      </c>
      <c r="C11">
        <v>46042.516782407401</v>
      </c>
      <c r="D11" s="4" t="s">
        <v>23</v>
      </c>
      <c r="E11" s="4"/>
      <c r="G11" s="4" t="s">
        <v>75</v>
      </c>
      <c r="H11" t="s">
        <v>48</v>
      </c>
      <c r="I11" s="4" t="s">
        <v>49</v>
      </c>
      <c r="J11" s="6" t="s">
        <v>50</v>
      </c>
      <c r="K11" s="5" t="s">
        <v>76</v>
      </c>
      <c r="L11" s="3">
        <v>46042</v>
      </c>
      <c r="M11" s="4" t="s">
        <v>29</v>
      </c>
      <c r="N11" s="4" t="s">
        <v>53</v>
      </c>
      <c r="O11" s="4" t="s">
        <v>31</v>
      </c>
      <c r="P11" s="6" t="s">
        <v>80</v>
      </c>
      <c r="Q11" s="4"/>
      <c r="R11" s="10">
        <v>46049</v>
      </c>
      <c r="S11" s="6" t="s">
        <v>81</v>
      </c>
      <c r="T11" s="4"/>
      <c r="V11" s="4" t="e" vm="1">
        <f>#REF!-#REF!</f>
        <v>#REF!</v>
      </c>
      <c r="W11" s="4" t="s">
        <v>82</v>
      </c>
    </row>
    <row r="12" spans="1:23" ht="156">
      <c r="A12">
        <v>12</v>
      </c>
      <c r="B12" s="1">
        <v>46043.687280092599</v>
      </c>
      <c r="C12" s="1">
        <v>46043.689363425903</v>
      </c>
      <c r="D12" s="4" t="s">
        <v>23</v>
      </c>
      <c r="E12" s="4"/>
      <c r="G12" s="4" t="s">
        <v>24</v>
      </c>
      <c r="H12" t="s">
        <v>25</v>
      </c>
      <c r="I12" s="4" t="s">
        <v>26</v>
      </c>
      <c r="J12" s="4" t="s">
        <v>64</v>
      </c>
      <c r="K12" s="5" t="s">
        <v>83</v>
      </c>
      <c r="L12" s="3">
        <v>46043</v>
      </c>
      <c r="M12" s="4" t="s">
        <v>29</v>
      </c>
      <c r="N12" s="4" t="s">
        <v>39</v>
      </c>
      <c r="O12" s="4" t="s">
        <v>43</v>
      </c>
      <c r="P12" s="4" t="s">
        <v>84</v>
      </c>
      <c r="Q12" s="4" t="s">
        <v>33</v>
      </c>
      <c r="R12" s="7">
        <v>46049</v>
      </c>
      <c r="S12" s="6" t="s">
        <v>85</v>
      </c>
      <c r="T12" s="4" t="s">
        <v>35</v>
      </c>
      <c r="U12" t="s">
        <v>36</v>
      </c>
      <c r="V12" s="4" t="e" vm="1">
        <f>#REF!-#REF!</f>
        <v>#REF!</v>
      </c>
      <c r="W12" s="4" t="s">
        <v>86</v>
      </c>
    </row>
    <row r="13" spans="1:23" ht="30.75">
      <c r="A13">
        <v>14</v>
      </c>
      <c r="B13" s="8">
        <v>46049.572326388901</v>
      </c>
      <c r="C13">
        <v>46049.575601851902</v>
      </c>
      <c r="D13" s="4" t="s">
        <v>23</v>
      </c>
      <c r="E13" s="4"/>
      <c r="G13" s="4" t="s">
        <v>87</v>
      </c>
      <c r="H13" t="s">
        <v>48</v>
      </c>
      <c r="I13" s="4" t="s">
        <v>49</v>
      </c>
      <c r="J13" s="6" t="s">
        <v>88</v>
      </c>
      <c r="K13" s="5" t="s">
        <v>76</v>
      </c>
      <c r="L13" s="3">
        <v>46049</v>
      </c>
      <c r="M13" s="4" t="s">
        <v>29</v>
      </c>
      <c r="N13" s="4" t="s">
        <v>53</v>
      </c>
      <c r="O13" s="4" t="s">
        <v>43</v>
      </c>
      <c r="P13" s="6" t="s">
        <v>89</v>
      </c>
      <c r="Q13" s="4"/>
      <c r="S13" s="6"/>
      <c r="T13" s="4"/>
      <c r="V13" s="4" t="e" vm="1">
        <f>#REF!-#REF!</f>
        <v>#REF!</v>
      </c>
      <c r="W13" s="4" t="s">
        <v>90</v>
      </c>
    </row>
    <row r="14" spans="1:23" ht="45.75">
      <c r="A14">
        <v>15</v>
      </c>
      <c r="B14" s="8">
        <v>46049.797881944403</v>
      </c>
      <c r="C14" s="9">
        <v>46049.800231481502</v>
      </c>
      <c r="D14" s="4" t="s">
        <v>23</v>
      </c>
      <c r="E14" s="4"/>
      <c r="G14" s="4" t="s">
        <v>87</v>
      </c>
      <c r="H14" t="s">
        <v>48</v>
      </c>
      <c r="I14" s="4" t="s">
        <v>49</v>
      </c>
      <c r="J14" s="6" t="s">
        <v>91</v>
      </c>
      <c r="K14" s="5" t="s">
        <v>42</v>
      </c>
      <c r="L14" s="3">
        <v>46049</v>
      </c>
      <c r="M14" s="4" t="s">
        <v>29</v>
      </c>
      <c r="N14" s="4" t="s">
        <v>53</v>
      </c>
      <c r="O14" s="4" t="s">
        <v>43</v>
      </c>
      <c r="P14" s="6" t="s">
        <v>92</v>
      </c>
      <c r="Q14" s="4" t="s">
        <v>93</v>
      </c>
      <c r="R14" s="11">
        <v>46086</v>
      </c>
      <c r="S14" s="6" t="s">
        <v>78</v>
      </c>
      <c r="T14" s="4"/>
      <c r="V14" s="4" t="e" vm="1">
        <f>#REF!-#REF!</f>
        <v>#REF!</v>
      </c>
      <c r="W14" s="4" t="s">
        <v>94</v>
      </c>
    </row>
    <row r="15" spans="1:23" ht="45.75">
      <c r="A15">
        <v>16</v>
      </c>
      <c r="B15" s="8">
        <v>46049.800636574102</v>
      </c>
      <c r="C15" s="9">
        <v>46049.801701388897</v>
      </c>
      <c r="D15" s="4" t="s">
        <v>23</v>
      </c>
      <c r="E15" s="4"/>
      <c r="G15" s="4" t="s">
        <v>87</v>
      </c>
      <c r="H15" t="s">
        <v>48</v>
      </c>
      <c r="I15" s="4" t="s">
        <v>49</v>
      </c>
      <c r="J15" s="6" t="s">
        <v>91</v>
      </c>
      <c r="K15" s="5" t="s">
        <v>42</v>
      </c>
      <c r="L15" s="3">
        <v>46049</v>
      </c>
      <c r="M15" s="4" t="s">
        <v>29</v>
      </c>
      <c r="N15" s="4" t="s">
        <v>53</v>
      </c>
      <c r="O15" s="4" t="s">
        <v>43</v>
      </c>
      <c r="P15" s="6" t="s">
        <v>95</v>
      </c>
      <c r="Q15" s="4" t="s">
        <v>93</v>
      </c>
      <c r="R15" s="11">
        <v>46086</v>
      </c>
      <c r="S15" s="6" t="s">
        <v>78</v>
      </c>
      <c r="T15" s="4"/>
      <c r="V15" s="4" t="e" vm="1">
        <f>#REF!-#REF!</f>
        <v>#REF!</v>
      </c>
      <c r="W15" s="4" t="s">
        <v>96</v>
      </c>
    </row>
    <row r="16" spans="1:23" ht="45.75">
      <c r="A16">
        <v>17</v>
      </c>
      <c r="B16" s="8">
        <v>46050.655405092599</v>
      </c>
      <c r="C16">
        <v>46050.657685185201</v>
      </c>
      <c r="D16" s="4" t="s">
        <v>23</v>
      </c>
      <c r="E16" s="4"/>
      <c r="G16" s="4" t="s">
        <v>75</v>
      </c>
      <c r="H16" t="s">
        <v>48</v>
      </c>
      <c r="I16" s="4" t="s">
        <v>49</v>
      </c>
      <c r="J16" s="6" t="s">
        <v>50</v>
      </c>
      <c r="K16" s="5" t="s">
        <v>97</v>
      </c>
      <c r="L16" s="3">
        <v>46050</v>
      </c>
      <c r="M16" s="4" t="s">
        <v>29</v>
      </c>
      <c r="N16" s="4" t="s">
        <v>53</v>
      </c>
      <c r="O16" s="4" t="s">
        <v>31</v>
      </c>
      <c r="P16" s="6" t="s">
        <v>98</v>
      </c>
      <c r="Q16" s="4"/>
      <c r="S16" s="6"/>
      <c r="T16" s="4"/>
      <c r="U16" t="s">
        <v>99</v>
      </c>
      <c r="V16" s="4" t="e" vm="1">
        <f>#REF!-#REF!</f>
        <v>#REF!</v>
      </c>
      <c r="W16" s="4" t="s">
        <v>100</v>
      </c>
    </row>
    <row r="17" spans="1:24" ht="30.75">
      <c r="A17">
        <v>18</v>
      </c>
      <c r="B17" s="8">
        <v>46050.6640625</v>
      </c>
      <c r="C17">
        <v>46050.664317129602</v>
      </c>
      <c r="D17" s="4" t="s">
        <v>23</v>
      </c>
      <c r="E17" s="4"/>
      <c r="G17" s="4" t="s">
        <v>75</v>
      </c>
      <c r="H17" t="s">
        <v>48</v>
      </c>
      <c r="I17" s="4" t="s">
        <v>49</v>
      </c>
      <c r="J17" s="6" t="s">
        <v>50</v>
      </c>
      <c r="K17" s="5" t="s">
        <v>59</v>
      </c>
      <c r="L17" s="3">
        <v>46050</v>
      </c>
      <c r="M17" s="4" t="s">
        <v>29</v>
      </c>
      <c r="N17" s="4" t="s">
        <v>53</v>
      </c>
      <c r="O17" s="4" t="s">
        <v>43</v>
      </c>
      <c r="P17" s="6" t="s">
        <v>101</v>
      </c>
      <c r="Q17" s="4"/>
      <c r="S17" s="6"/>
      <c r="T17" s="4"/>
      <c r="V17" s="4" t="e" vm="1">
        <f>#REF!-#REF!</f>
        <v>#REF!</v>
      </c>
      <c r="W17" s="4" t="s">
        <v>102</v>
      </c>
    </row>
    <row r="18" spans="1:24" ht="30.75">
      <c r="D18" s="4"/>
      <c r="E18" s="4"/>
      <c r="G18" s="4"/>
      <c r="I18" s="4"/>
      <c r="J18" s="4"/>
      <c r="K18" s="4"/>
      <c r="L18" s="3">
        <v>45966</v>
      </c>
      <c r="M18" s="4"/>
      <c r="N18" s="4"/>
      <c r="O18" s="4"/>
      <c r="P18" s="6" t="s">
        <v>103</v>
      </c>
      <c r="Q18" s="4" t="s">
        <v>104</v>
      </c>
      <c r="R18" s="11">
        <v>45968</v>
      </c>
      <c r="S18" s="4" t="s">
        <v>105</v>
      </c>
      <c r="T18" s="4" t="s">
        <v>36</v>
      </c>
      <c r="V18" s="4" t="e" vm="1">
        <f>#REF!-#REF!</f>
        <v>#REF!</v>
      </c>
      <c r="W18" s="4" t="s">
        <v>106</v>
      </c>
    </row>
    <row r="19" spans="1:24" ht="91.5">
      <c r="B19" s="1"/>
      <c r="C19" s="1"/>
      <c r="D19" s="4"/>
      <c r="E19" s="4" t="s">
        <v>107</v>
      </c>
      <c r="G19" s="4" t="s">
        <v>108</v>
      </c>
      <c r="H19" t="s">
        <v>109</v>
      </c>
      <c r="I19" s="4" t="s">
        <v>110</v>
      </c>
      <c r="J19" s="4" t="s">
        <v>111</v>
      </c>
      <c r="K19" s="4" t="s">
        <v>112</v>
      </c>
      <c r="L19" s="3">
        <v>45989</v>
      </c>
      <c r="M19" s="4"/>
      <c r="N19" s="4"/>
      <c r="O19" s="4"/>
      <c r="P19" s="6" t="s">
        <v>113</v>
      </c>
      <c r="Q19" s="4" t="s">
        <v>104</v>
      </c>
      <c r="R19" s="11">
        <v>46006</v>
      </c>
      <c r="S19" s="6" t="s">
        <v>114</v>
      </c>
      <c r="T19" s="4"/>
      <c r="V19" s="4" t="e" vm="1">
        <f>#REF!-#REF!</f>
        <v>#REF!</v>
      </c>
      <c r="W19" s="4" t="s">
        <v>115</v>
      </c>
    </row>
    <row r="20" spans="1:24">
      <c r="A20">
        <v>19</v>
      </c>
      <c r="B20" s="1">
        <v>46052.649791666699</v>
      </c>
      <c r="C20" s="1">
        <v>46052.8044212963</v>
      </c>
      <c r="D20" s="4" t="s">
        <v>23</v>
      </c>
      <c r="E20" s="4"/>
      <c r="G20" s="4" t="s">
        <v>116</v>
      </c>
      <c r="H20" t="s">
        <v>25</v>
      </c>
      <c r="I20" s="4" t="s">
        <v>63</v>
      </c>
      <c r="J20" s="4" t="s">
        <v>64</v>
      </c>
      <c r="K20" s="5" t="s">
        <v>83</v>
      </c>
      <c r="L20" s="3">
        <v>46052</v>
      </c>
      <c r="M20" s="4" t="s">
        <v>29</v>
      </c>
      <c r="N20" s="4" t="s">
        <v>53</v>
      </c>
      <c r="O20" s="4" t="s">
        <v>43</v>
      </c>
      <c r="P20" s="4" t="s">
        <v>117</v>
      </c>
      <c r="Q20" s="4" t="s">
        <v>33</v>
      </c>
      <c r="R20" s="11">
        <v>46086</v>
      </c>
      <c r="S20" s="4" t="s">
        <v>118</v>
      </c>
      <c r="T20" s="4" t="s">
        <v>36</v>
      </c>
      <c r="U20" t="s">
        <v>56</v>
      </c>
      <c r="V20" s="4" t="e" vm="1">
        <f>#REF!-#REF!</f>
        <v>#REF!</v>
      </c>
      <c r="W20" s="4" t="s">
        <v>119</v>
      </c>
    </row>
    <row r="21" spans="1:24">
      <c r="A21">
        <v>20</v>
      </c>
      <c r="B21" s="1">
        <v>46052.804513888899</v>
      </c>
      <c r="C21" s="1">
        <v>46052.807858796303</v>
      </c>
      <c r="D21" s="4" t="s">
        <v>23</v>
      </c>
      <c r="E21" s="4"/>
      <c r="G21" s="4" t="s">
        <v>116</v>
      </c>
      <c r="H21" t="s">
        <v>25</v>
      </c>
      <c r="I21" s="4" t="s">
        <v>63</v>
      </c>
      <c r="J21" s="4" t="s">
        <v>120</v>
      </c>
      <c r="K21" s="5" t="s">
        <v>59</v>
      </c>
      <c r="L21" s="3">
        <v>46052</v>
      </c>
      <c r="M21" s="4" t="s">
        <v>29</v>
      </c>
      <c r="N21" s="4" t="s">
        <v>53</v>
      </c>
      <c r="O21" s="4" t="s">
        <v>31</v>
      </c>
      <c r="P21" s="4" t="s">
        <v>121</v>
      </c>
      <c r="Q21" s="4" t="s">
        <v>33</v>
      </c>
      <c r="R21" s="11">
        <v>46086</v>
      </c>
      <c r="S21" s="4" t="s">
        <v>122</v>
      </c>
      <c r="T21" s="4" t="s">
        <v>56</v>
      </c>
      <c r="U21" t="s">
        <v>56</v>
      </c>
      <c r="V21" s="4" t="e" vm="1">
        <f>#REF!-#REF!</f>
        <v>#REF!</v>
      </c>
      <c r="W21" s="4" t="s">
        <v>123</v>
      </c>
    </row>
    <row r="22" spans="1:24" ht="60.75">
      <c r="A22">
        <v>21</v>
      </c>
      <c r="B22" s="8">
        <v>46055.506481481498</v>
      </c>
      <c r="C22">
        <v>46055.610104166699</v>
      </c>
      <c r="D22" s="4" t="s">
        <v>23</v>
      </c>
      <c r="E22" s="4"/>
      <c r="G22" s="4" t="s">
        <v>124</v>
      </c>
      <c r="H22" t="s">
        <v>48</v>
      </c>
      <c r="I22" s="4" t="s">
        <v>49</v>
      </c>
      <c r="J22" s="6" t="s">
        <v>50</v>
      </c>
      <c r="K22" s="5" t="s">
        <v>51</v>
      </c>
      <c r="L22" s="3">
        <v>46055</v>
      </c>
      <c r="M22" s="4" t="s">
        <v>52</v>
      </c>
      <c r="N22" s="4" t="s">
        <v>39</v>
      </c>
      <c r="O22" s="4" t="s">
        <v>31</v>
      </c>
      <c r="P22" s="6" t="s">
        <v>125</v>
      </c>
      <c r="Q22" s="4"/>
      <c r="R22" s="11"/>
      <c r="S22" s="6" t="s">
        <v>126</v>
      </c>
      <c r="T22" s="4" t="s">
        <v>36</v>
      </c>
      <c r="V22" s="4" t="e" vm="1">
        <f>#REF!-#REF!</f>
        <v>#REF!</v>
      </c>
      <c r="W22" s="4" t="s">
        <v>127</v>
      </c>
    </row>
    <row r="23" spans="1:24" ht="45.75">
      <c r="A23">
        <v>22</v>
      </c>
      <c r="B23" s="8">
        <v>46059.478599536997</v>
      </c>
      <c r="C23">
        <v>46059.480787036999</v>
      </c>
      <c r="D23" s="4" t="s">
        <v>23</v>
      </c>
      <c r="E23" s="4"/>
      <c r="G23" s="4" t="s">
        <v>47</v>
      </c>
      <c r="H23" t="s">
        <v>48</v>
      </c>
      <c r="I23" s="4" t="s">
        <v>49</v>
      </c>
      <c r="J23" s="6" t="s">
        <v>128</v>
      </c>
      <c r="K23" s="5" t="s">
        <v>59</v>
      </c>
      <c r="L23" s="3">
        <v>46059</v>
      </c>
      <c r="M23" s="4" t="s">
        <v>29</v>
      </c>
      <c r="N23" s="4" t="s">
        <v>129</v>
      </c>
      <c r="O23" s="4" t="s">
        <v>130</v>
      </c>
      <c r="P23" s="6" t="s">
        <v>131</v>
      </c>
      <c r="Q23" s="4"/>
      <c r="R23" s="11"/>
      <c r="S23" s="6"/>
      <c r="T23" s="4"/>
      <c r="V23" s="4" t="e" vm="1">
        <f>#REF!-#REF!</f>
        <v>#REF!</v>
      </c>
      <c r="W23" s="4" t="s">
        <v>132</v>
      </c>
    </row>
    <row r="24" spans="1:24" ht="183">
      <c r="A24">
        <v>23</v>
      </c>
      <c r="B24" s="1">
        <v>46059.666192129604</v>
      </c>
      <c r="C24" s="1">
        <v>46059.669120370403</v>
      </c>
      <c r="D24" s="4" t="s">
        <v>23</v>
      </c>
      <c r="E24" s="4"/>
      <c r="G24" s="4" t="s">
        <v>133</v>
      </c>
      <c r="H24" t="s">
        <v>25</v>
      </c>
      <c r="I24" s="4" t="s">
        <v>134</v>
      </c>
      <c r="J24" s="4" t="s">
        <v>64</v>
      </c>
      <c r="K24" s="5" t="s">
        <v>42</v>
      </c>
      <c r="L24" s="3">
        <v>46058</v>
      </c>
      <c r="M24" s="4" t="s">
        <v>29</v>
      </c>
      <c r="N24" s="4" t="s">
        <v>53</v>
      </c>
      <c r="O24" s="4" t="s">
        <v>31</v>
      </c>
      <c r="P24" s="6" t="s">
        <v>135</v>
      </c>
      <c r="Q24" s="4" t="s">
        <v>33</v>
      </c>
      <c r="R24" s="11">
        <v>46086</v>
      </c>
      <c r="S24" s="4" t="s">
        <v>136</v>
      </c>
      <c r="T24" s="4" t="s">
        <v>36</v>
      </c>
      <c r="V24" s="4" t="e" vm="1">
        <f>#REF!-#REF!</f>
        <v>#REF!</v>
      </c>
      <c r="W24" s="4" t="s">
        <v>137</v>
      </c>
    </row>
    <row r="25" spans="1:24">
      <c r="A25">
        <v>24</v>
      </c>
      <c r="B25" s="8">
        <v>46062.606898148202</v>
      </c>
      <c r="C25" s="1">
        <v>46062.610520833303</v>
      </c>
      <c r="D25" s="4" t="s">
        <v>23</v>
      </c>
      <c r="E25" s="4"/>
      <c r="G25" s="4" t="s">
        <v>133</v>
      </c>
      <c r="H25" t="s">
        <v>48</v>
      </c>
      <c r="I25" s="4" t="s">
        <v>134</v>
      </c>
      <c r="J25" s="4" t="s">
        <v>138</v>
      </c>
      <c r="K25" s="5" t="s">
        <v>42</v>
      </c>
      <c r="L25" s="3">
        <v>46062</v>
      </c>
      <c r="M25" s="4" t="s">
        <v>29</v>
      </c>
      <c r="N25" s="4" t="s">
        <v>30</v>
      </c>
      <c r="O25" s="4" t="s">
        <v>43</v>
      </c>
      <c r="P25" s="4" t="s">
        <v>139</v>
      </c>
      <c r="Q25" s="4"/>
      <c r="R25" s="11"/>
      <c r="S25" s="6"/>
      <c r="T25" s="4"/>
      <c r="V25" s="4" t="e" vm="1">
        <f>#REF!-#REF!</f>
        <v>#REF!</v>
      </c>
      <c r="W25" s="4" t="s">
        <v>140</v>
      </c>
    </row>
    <row r="26" spans="1:24">
      <c r="A26">
        <v>25</v>
      </c>
      <c r="B26" s="8">
        <v>46062.6124305556</v>
      </c>
      <c r="C26" s="1">
        <v>46062.612858796303</v>
      </c>
      <c r="D26" s="4" t="s">
        <v>23</v>
      </c>
      <c r="E26" s="4"/>
      <c r="G26" s="4" t="s">
        <v>133</v>
      </c>
      <c r="H26" t="s">
        <v>48</v>
      </c>
      <c r="I26" s="4" t="s">
        <v>134</v>
      </c>
      <c r="J26" s="4" t="s">
        <v>141</v>
      </c>
      <c r="K26" s="5" t="s">
        <v>76</v>
      </c>
      <c r="L26" s="3">
        <v>46062</v>
      </c>
      <c r="M26" s="4" t="s">
        <v>29</v>
      </c>
      <c r="N26" s="4" t="s">
        <v>30</v>
      </c>
      <c r="O26" s="4" t="s">
        <v>43</v>
      </c>
      <c r="P26" s="4" t="s">
        <v>142</v>
      </c>
      <c r="Q26" s="4"/>
      <c r="R26" s="11"/>
      <c r="S26" s="6"/>
      <c r="T26" s="4"/>
      <c r="V26" s="4" t="e" vm="1">
        <f>#REF!-#REF!</f>
        <v>#REF!</v>
      </c>
      <c r="W26" s="4" t="s">
        <v>143</v>
      </c>
    </row>
    <row r="27" spans="1:24">
      <c r="A27">
        <v>26</v>
      </c>
      <c r="B27" s="8">
        <v>46062.683611111097</v>
      </c>
      <c r="C27">
        <v>46062.689988425896</v>
      </c>
      <c r="D27" s="4" t="s">
        <v>23</v>
      </c>
      <c r="E27" s="4"/>
      <c r="G27" s="4" t="s">
        <v>75</v>
      </c>
      <c r="H27" t="s">
        <v>144</v>
      </c>
      <c r="I27" s="4" t="s">
        <v>144</v>
      </c>
      <c r="J27" s="4" t="s">
        <v>141</v>
      </c>
      <c r="K27" s="5" t="s">
        <v>59</v>
      </c>
      <c r="L27" s="3">
        <v>46062</v>
      </c>
      <c r="M27" s="4" t="s">
        <v>29</v>
      </c>
      <c r="N27" s="4" t="s">
        <v>53</v>
      </c>
      <c r="O27" s="4" t="s">
        <v>31</v>
      </c>
      <c r="P27" s="4" t="s">
        <v>145</v>
      </c>
      <c r="Q27" s="4"/>
      <c r="R27" s="11"/>
      <c r="S27" s="4"/>
      <c r="T27" s="4"/>
      <c r="V27" s="4" t="e" vm="1">
        <f>#REF!-#REF!</f>
        <v>#REF!</v>
      </c>
      <c r="W27" s="4" t="s">
        <v>146</v>
      </c>
    </row>
    <row r="28" spans="1:24" ht="30.75">
      <c r="A28">
        <v>27</v>
      </c>
      <c r="B28" s="8">
        <v>46064.418483796297</v>
      </c>
      <c r="C28">
        <v>46064.420358796298</v>
      </c>
      <c r="D28" s="4" t="s">
        <v>23</v>
      </c>
      <c r="E28" s="4"/>
      <c r="G28" s="4" t="s">
        <v>147</v>
      </c>
      <c r="H28" t="s">
        <v>48</v>
      </c>
      <c r="I28" s="4" t="s">
        <v>49</v>
      </c>
      <c r="J28" s="6" t="s">
        <v>148</v>
      </c>
      <c r="K28" s="5" t="s">
        <v>149</v>
      </c>
      <c r="L28" s="3">
        <v>46064</v>
      </c>
      <c r="M28" s="4" t="s">
        <v>150</v>
      </c>
      <c r="N28" s="4" t="s">
        <v>53</v>
      </c>
      <c r="O28" s="4" t="s">
        <v>31</v>
      </c>
      <c r="P28" s="6" t="s">
        <v>151</v>
      </c>
      <c r="Q28" s="4" t="s">
        <v>93</v>
      </c>
      <c r="R28" s="11">
        <v>46026</v>
      </c>
      <c r="S28" s="6" t="s">
        <v>152</v>
      </c>
      <c r="T28" s="4"/>
      <c r="V28" s="4" t="e" vm="1">
        <f>#REF!-#REF!</f>
        <v>#REF!</v>
      </c>
      <c r="W28" s="4" t="s">
        <v>153</v>
      </c>
    </row>
    <row r="29" spans="1:24" ht="45.75">
      <c r="A29">
        <v>28</v>
      </c>
      <c r="B29" s="8">
        <v>46072.619143518503</v>
      </c>
      <c r="C29">
        <v>46072.620972222197</v>
      </c>
      <c r="D29" s="4" t="s">
        <v>23</v>
      </c>
      <c r="E29" s="4"/>
      <c r="G29" s="4" t="s">
        <v>154</v>
      </c>
      <c r="H29" t="s">
        <v>48</v>
      </c>
      <c r="I29" s="4" t="s">
        <v>49</v>
      </c>
      <c r="J29" s="6" t="s">
        <v>155</v>
      </c>
      <c r="K29" s="5" t="s">
        <v>28</v>
      </c>
      <c r="L29" s="3">
        <v>46072</v>
      </c>
      <c r="M29" s="4" t="s">
        <v>29</v>
      </c>
      <c r="N29" s="4" t="s">
        <v>39</v>
      </c>
      <c r="O29" s="4" t="s">
        <v>43</v>
      </c>
      <c r="P29" s="6" t="s">
        <v>156</v>
      </c>
      <c r="Q29" s="4"/>
      <c r="R29" s="11"/>
      <c r="S29" s="6"/>
      <c r="T29" s="4"/>
      <c r="V29" s="4" t="e" vm="1">
        <f>#REF!-#REF!</f>
        <v>#REF!</v>
      </c>
      <c r="W29" s="4" t="s">
        <v>157</v>
      </c>
    </row>
    <row r="30" spans="1:24" ht="60.75">
      <c r="A30">
        <v>29</v>
      </c>
      <c r="B30" s="8">
        <v>46072.621400463002</v>
      </c>
      <c r="C30">
        <v>46072.627025463</v>
      </c>
      <c r="D30" s="4" t="s">
        <v>23</v>
      </c>
      <c r="E30" s="4"/>
      <c r="G30" s="4" t="s">
        <v>124</v>
      </c>
      <c r="H30" t="s">
        <v>48</v>
      </c>
      <c r="I30" s="4" t="s">
        <v>49</v>
      </c>
      <c r="J30" s="6" t="s">
        <v>155</v>
      </c>
      <c r="K30" s="5" t="s">
        <v>28</v>
      </c>
      <c r="L30" s="3">
        <v>46072</v>
      </c>
      <c r="M30" s="4" t="s">
        <v>29</v>
      </c>
      <c r="N30" s="4" t="s">
        <v>65</v>
      </c>
      <c r="O30" s="4" t="s">
        <v>43</v>
      </c>
      <c r="P30" s="6" t="s">
        <v>158</v>
      </c>
      <c r="Q30" s="4"/>
      <c r="R30" s="11"/>
      <c r="S30" s="6"/>
      <c r="T30" s="4"/>
      <c r="V30" s="4" t="e" vm="1">
        <f>#REF!-#REF!</f>
        <v>#REF!</v>
      </c>
      <c r="W30" s="4" t="s">
        <v>159</v>
      </c>
    </row>
    <row r="31" spans="1:24" ht="30.75">
      <c r="A31" s="12">
        <v>30</v>
      </c>
      <c r="B31" s="13">
        <v>46072.638923611099</v>
      </c>
      <c r="C31" s="12">
        <v>46072.640659722201</v>
      </c>
      <c r="D31" s="14" t="s">
        <v>23</v>
      </c>
      <c r="E31" s="14"/>
      <c r="F31" s="12"/>
      <c r="G31" s="14" t="s">
        <v>154</v>
      </c>
      <c r="H31" s="12" t="s">
        <v>48</v>
      </c>
      <c r="I31" s="14" t="s">
        <v>49</v>
      </c>
      <c r="J31" s="15" t="s">
        <v>50</v>
      </c>
      <c r="K31" s="16" t="s">
        <v>51</v>
      </c>
      <c r="L31" s="17">
        <v>46072</v>
      </c>
      <c r="M31" s="14" t="s">
        <v>52</v>
      </c>
      <c r="N31" s="14" t="s">
        <v>39</v>
      </c>
      <c r="O31" s="14" t="s">
        <v>31</v>
      </c>
      <c r="P31" s="15" t="s">
        <v>160</v>
      </c>
      <c r="Q31" s="14"/>
      <c r="R31" s="18"/>
      <c r="S31" s="15"/>
      <c r="T31" s="14"/>
      <c r="U31" s="12"/>
      <c r="V31" s="14" t="e" vm="1">
        <f>#REF!-#REF!</f>
        <v>#REF!</v>
      </c>
      <c r="W31" s="14" t="s">
        <v>161</v>
      </c>
      <c r="X31" s="12"/>
    </row>
    <row r="32" spans="1:24" ht="30.75">
      <c r="A32">
        <v>31</v>
      </c>
      <c r="B32" s="8">
        <v>46072.641574074099</v>
      </c>
      <c r="C32">
        <v>46072.653530092597</v>
      </c>
      <c r="D32" s="4" t="s">
        <v>23</v>
      </c>
      <c r="E32" s="4"/>
      <c r="G32" s="4" t="s">
        <v>162</v>
      </c>
      <c r="H32" t="s">
        <v>48</v>
      </c>
      <c r="I32" s="4" t="s">
        <v>49</v>
      </c>
      <c r="J32" s="6" t="s">
        <v>155</v>
      </c>
      <c r="K32" s="5" t="s">
        <v>163</v>
      </c>
      <c r="L32" s="3">
        <v>46072</v>
      </c>
      <c r="M32" s="4" t="s">
        <v>29</v>
      </c>
      <c r="N32" s="4" t="s">
        <v>39</v>
      </c>
      <c r="O32" s="4" t="s">
        <v>43</v>
      </c>
      <c r="P32" s="6" t="s">
        <v>164</v>
      </c>
      <c r="Q32" s="4"/>
      <c r="R32" s="11"/>
      <c r="S32" s="6"/>
      <c r="T32" s="4"/>
      <c r="V32" s="4" t="e" vm="1">
        <f>#REF!-#REF!</f>
        <v>#REF!</v>
      </c>
      <c r="W32" s="4" t="s">
        <v>165</v>
      </c>
    </row>
    <row r="33" spans="1:23" ht="45.75">
      <c r="A33">
        <v>32</v>
      </c>
      <c r="B33" s="8">
        <v>46076.856423611098</v>
      </c>
      <c r="C33">
        <v>46076.8606828704</v>
      </c>
      <c r="D33" s="4" t="s">
        <v>23</v>
      </c>
      <c r="E33" s="4"/>
      <c r="G33" s="4" t="s">
        <v>154</v>
      </c>
      <c r="H33" t="s">
        <v>144</v>
      </c>
      <c r="I33" s="4" t="s">
        <v>144</v>
      </c>
      <c r="J33" s="4" t="s">
        <v>138</v>
      </c>
      <c r="K33" s="5" t="s">
        <v>166</v>
      </c>
      <c r="L33" s="3">
        <v>46076</v>
      </c>
      <c r="M33" s="4" t="s">
        <v>29</v>
      </c>
      <c r="N33" s="4" t="s">
        <v>39</v>
      </c>
      <c r="O33" s="4" t="s">
        <v>31</v>
      </c>
      <c r="P33" s="6" t="s">
        <v>167</v>
      </c>
      <c r="Q33" s="4"/>
      <c r="R33" s="11"/>
      <c r="S33" s="4"/>
      <c r="T33" s="4"/>
      <c r="V33" s="4" t="e" vm="1">
        <f>#REF!-#REF!</f>
        <v>#REF!</v>
      </c>
      <c r="W33" s="4" t="s">
        <v>168</v>
      </c>
    </row>
    <row r="34" spans="1:23">
      <c r="A34">
        <v>33</v>
      </c>
      <c r="B34" s="8">
        <v>46078.414259259298</v>
      </c>
      <c r="C34">
        <v>46078.433599536998</v>
      </c>
      <c r="D34" s="4" t="s">
        <v>23</v>
      </c>
      <c r="E34" s="4"/>
      <c r="G34" s="4" t="s">
        <v>75</v>
      </c>
      <c r="H34" t="s">
        <v>144</v>
      </c>
      <c r="I34" s="4" t="s">
        <v>144</v>
      </c>
      <c r="J34" s="4" t="s">
        <v>138</v>
      </c>
      <c r="K34" s="5" t="s">
        <v>83</v>
      </c>
      <c r="L34" s="3">
        <v>46078</v>
      </c>
      <c r="M34" s="4" t="s">
        <v>150</v>
      </c>
      <c r="N34" s="4" t="s">
        <v>65</v>
      </c>
      <c r="O34" s="4" t="s">
        <v>43</v>
      </c>
      <c r="P34" s="4" t="s">
        <v>169</v>
      </c>
      <c r="Q34" s="4"/>
      <c r="R34" s="11"/>
      <c r="S34" s="4"/>
      <c r="T34" s="4"/>
      <c r="V34" s="4" t="e" vm="1">
        <f>#REF!-#REF!</f>
        <v>#REF!</v>
      </c>
      <c r="W34" s="4" t="s">
        <v>170</v>
      </c>
    </row>
    <row r="35" spans="1:23" ht="183">
      <c r="A35">
        <v>34</v>
      </c>
      <c r="B35" s="8">
        <v>46086.8262384259</v>
      </c>
      <c r="C35">
        <v>46086.896030092597</v>
      </c>
      <c r="D35" s="4" t="s">
        <v>23</v>
      </c>
      <c r="E35" s="4"/>
      <c r="G35" s="4" t="s">
        <v>133</v>
      </c>
      <c r="H35" t="s">
        <v>25</v>
      </c>
      <c r="I35" s="4" t="s">
        <v>134</v>
      </c>
      <c r="J35" s="4" t="s">
        <v>27</v>
      </c>
      <c r="K35" s="5" t="s">
        <v>28</v>
      </c>
      <c r="L35" s="3">
        <v>46086</v>
      </c>
      <c r="M35" s="4" t="s">
        <v>29</v>
      </c>
      <c r="N35" s="4" t="s">
        <v>30</v>
      </c>
      <c r="O35" s="4" t="s">
        <v>31</v>
      </c>
      <c r="P35" s="6" t="s">
        <v>171</v>
      </c>
      <c r="Q35" s="4" t="s">
        <v>33</v>
      </c>
      <c r="R35" s="11">
        <v>46087</v>
      </c>
      <c r="S35" s="6" t="s">
        <v>172</v>
      </c>
      <c r="T35" s="4" t="s">
        <v>56</v>
      </c>
      <c r="V35" s="4" t="e" vm="1">
        <f>#REF!-#REF!</f>
        <v>#REF!</v>
      </c>
      <c r="W35" s="4" t="s">
        <v>173</v>
      </c>
    </row>
    <row r="36" spans="1:23" ht="259.5">
      <c r="A36">
        <v>35</v>
      </c>
      <c r="B36" s="8">
        <v>46086.898379629602</v>
      </c>
      <c r="C36">
        <v>46086.898831018501</v>
      </c>
      <c r="D36" s="4" t="s">
        <v>23</v>
      </c>
      <c r="E36" s="4"/>
      <c r="G36" s="4" t="s">
        <v>133</v>
      </c>
      <c r="H36" t="s">
        <v>25</v>
      </c>
      <c r="I36" s="4" t="s">
        <v>134</v>
      </c>
      <c r="J36" s="4" t="s">
        <v>27</v>
      </c>
      <c r="K36" s="5" t="s">
        <v>76</v>
      </c>
      <c r="L36" s="3">
        <v>46086</v>
      </c>
      <c r="M36" s="4" t="s">
        <v>29</v>
      </c>
      <c r="N36" s="4" t="s">
        <v>65</v>
      </c>
      <c r="O36" s="4" t="s">
        <v>31</v>
      </c>
      <c r="P36" s="6" t="s">
        <v>174</v>
      </c>
      <c r="Q36" s="4" t="s">
        <v>33</v>
      </c>
      <c r="R36" s="11">
        <v>46087</v>
      </c>
      <c r="S36" s="6" t="s">
        <v>175</v>
      </c>
      <c r="T36" s="4" t="s">
        <v>56</v>
      </c>
      <c r="V36" s="4" t="e" vm="1">
        <f>#REF!-#REF!</f>
        <v>#REF!</v>
      </c>
      <c r="W36" s="4" t="s">
        <v>176</v>
      </c>
    </row>
    <row r="37" spans="1:23" ht="30.75">
      <c r="A37">
        <v>36</v>
      </c>
      <c r="B37" s="8">
        <v>46087.508240740703</v>
      </c>
      <c r="C37">
        <v>46087.520451388897</v>
      </c>
      <c r="D37" s="4" t="s">
        <v>23</v>
      </c>
      <c r="E37" s="4"/>
      <c r="G37" s="4" t="s">
        <v>154</v>
      </c>
      <c r="H37" t="s">
        <v>48</v>
      </c>
      <c r="I37" s="4" t="s">
        <v>49</v>
      </c>
      <c r="J37" s="6" t="s">
        <v>177</v>
      </c>
      <c r="K37" s="5" t="s">
        <v>28</v>
      </c>
      <c r="L37" s="3">
        <v>46087</v>
      </c>
      <c r="M37" s="4" t="s">
        <v>29</v>
      </c>
      <c r="N37" s="4" t="s">
        <v>39</v>
      </c>
      <c r="O37" s="4" t="s">
        <v>43</v>
      </c>
      <c r="P37" s="6" t="s">
        <v>178</v>
      </c>
      <c r="Q37" s="4" t="s">
        <v>179</v>
      </c>
      <c r="R37" s="11"/>
      <c r="S37" s="6"/>
      <c r="T37" s="4"/>
      <c r="U37" t="s">
        <v>36</v>
      </c>
      <c r="V37" s="4" t="e" vm="1">
        <f>#REF!-#REF!</f>
        <v>#REF!</v>
      </c>
      <c r="W37" s="4" t="s">
        <v>180</v>
      </c>
    </row>
    <row r="38" spans="1:23">
      <c r="A38">
        <v>37</v>
      </c>
      <c r="B38" s="8">
        <v>46087.520543981504</v>
      </c>
      <c r="C38">
        <v>46087.521388888897</v>
      </c>
      <c r="D38" s="4" t="s">
        <v>23</v>
      </c>
      <c r="E38" s="4"/>
      <c r="G38" s="4" t="s">
        <v>124</v>
      </c>
      <c r="H38" t="s">
        <v>48</v>
      </c>
      <c r="I38" s="4" t="s">
        <v>49</v>
      </c>
      <c r="J38" s="4" t="s">
        <v>177</v>
      </c>
      <c r="K38" s="5" t="s">
        <v>28</v>
      </c>
      <c r="L38" s="3">
        <v>46087</v>
      </c>
      <c r="M38" s="4" t="s">
        <v>29</v>
      </c>
      <c r="N38" s="4" t="s">
        <v>39</v>
      </c>
      <c r="O38" s="4" t="s">
        <v>43</v>
      </c>
      <c r="P38" s="6" t="s">
        <v>181</v>
      </c>
      <c r="Q38" s="4" t="s">
        <v>179</v>
      </c>
      <c r="R38" s="11"/>
      <c r="S38" s="6"/>
      <c r="T38" s="4"/>
      <c r="U38" t="s">
        <v>36</v>
      </c>
      <c r="V38" s="4" t="e" vm="1">
        <f>#REF!-#REF!</f>
        <v>#REF!</v>
      </c>
      <c r="W38" s="4" t="s">
        <v>182</v>
      </c>
    </row>
    <row r="39" spans="1:23">
      <c r="A39">
        <v>38</v>
      </c>
      <c r="B39" s="8">
        <v>46087.5215046296</v>
      </c>
      <c r="C39">
        <v>46087.522974537002</v>
      </c>
      <c r="D39" s="4" t="s">
        <v>23</v>
      </c>
      <c r="E39" s="4"/>
      <c r="G39" s="4" t="s">
        <v>154</v>
      </c>
      <c r="H39" t="s">
        <v>48</v>
      </c>
      <c r="I39" s="4" t="s">
        <v>49</v>
      </c>
      <c r="J39" s="4" t="s">
        <v>177</v>
      </c>
      <c r="K39" s="5" t="s">
        <v>59</v>
      </c>
      <c r="L39" s="3">
        <v>46087</v>
      </c>
      <c r="M39" s="4" t="s">
        <v>29</v>
      </c>
      <c r="N39" s="4" t="s">
        <v>129</v>
      </c>
      <c r="O39" s="4" t="s">
        <v>130</v>
      </c>
      <c r="P39" s="6" t="s">
        <v>183</v>
      </c>
      <c r="Q39" s="4" t="s">
        <v>184</v>
      </c>
      <c r="R39" s="11"/>
      <c r="S39" s="6"/>
      <c r="T39" s="4"/>
      <c r="U39" t="s">
        <v>36</v>
      </c>
      <c r="V39" s="4" t="e" vm="1">
        <f>#REF!-#REF!</f>
        <v>#REF!</v>
      </c>
      <c r="W39" s="4" t="s">
        <v>185</v>
      </c>
    </row>
    <row r="40" spans="1:23">
      <c r="A40">
        <v>39</v>
      </c>
      <c r="B40" s="8">
        <v>46087.523009259297</v>
      </c>
      <c r="C40">
        <v>46090.4987847222</v>
      </c>
      <c r="D40" s="4" t="s">
        <v>23</v>
      </c>
      <c r="E40" s="4"/>
      <c r="G40" s="4" t="s">
        <v>154</v>
      </c>
      <c r="H40" t="s">
        <v>48</v>
      </c>
      <c r="I40" s="4" t="s">
        <v>49</v>
      </c>
      <c r="J40" s="4" t="s">
        <v>177</v>
      </c>
      <c r="K40" s="5" t="s">
        <v>38</v>
      </c>
      <c r="L40" s="3">
        <v>46090</v>
      </c>
      <c r="M40" s="4" t="s">
        <v>150</v>
      </c>
      <c r="N40" s="4" t="s">
        <v>53</v>
      </c>
      <c r="O40" s="4" t="s">
        <v>31</v>
      </c>
      <c r="P40" s="6" t="s">
        <v>186</v>
      </c>
      <c r="Q40" s="4" t="s">
        <v>179</v>
      </c>
      <c r="R40" s="11"/>
      <c r="S40" s="6"/>
      <c r="T40" s="4"/>
      <c r="U40" t="s">
        <v>36</v>
      </c>
      <c r="V40" s="4" t="e" vm="1">
        <f>#REF!-#REF!</f>
        <v>#REF!</v>
      </c>
      <c r="W40" s="4" t="s">
        <v>187</v>
      </c>
    </row>
    <row r="41" spans="1:23">
      <c r="A41">
        <v>40</v>
      </c>
      <c r="B41" s="8">
        <v>46090.498842592599</v>
      </c>
      <c r="C41">
        <v>46090.4995023148</v>
      </c>
      <c r="D41" s="4" t="s">
        <v>23</v>
      </c>
      <c r="E41" s="4"/>
      <c r="G41" s="4" t="s">
        <v>75</v>
      </c>
      <c r="H41" t="s">
        <v>48</v>
      </c>
      <c r="I41" s="4" t="s">
        <v>49</v>
      </c>
      <c r="J41" s="4" t="s">
        <v>177</v>
      </c>
      <c r="K41" s="5" t="s">
        <v>76</v>
      </c>
      <c r="L41" s="3">
        <v>46090</v>
      </c>
      <c r="M41" s="4" t="s">
        <v>150</v>
      </c>
      <c r="N41" s="4" t="s">
        <v>53</v>
      </c>
      <c r="O41" s="4" t="s">
        <v>31</v>
      </c>
      <c r="P41" s="6" t="s">
        <v>186</v>
      </c>
      <c r="Q41" s="4" t="s">
        <v>179</v>
      </c>
      <c r="R41" s="11"/>
      <c r="S41" s="6"/>
      <c r="T41" s="4"/>
      <c r="U41" t="s">
        <v>36</v>
      </c>
      <c r="V41" s="4" t="e" vm="1">
        <f>#REF!-#REF!</f>
        <v>#REF!</v>
      </c>
      <c r="W41" s="4" t="s">
        <v>188</v>
      </c>
    </row>
    <row r="42" spans="1:23" ht="30.75">
      <c r="A42">
        <v>41</v>
      </c>
      <c r="B42" s="8">
        <v>46090.5072685185</v>
      </c>
      <c r="C42">
        <v>46090.509675925903</v>
      </c>
      <c r="D42" s="4" t="s">
        <v>23</v>
      </c>
      <c r="E42" s="4"/>
      <c r="G42" s="4" t="s">
        <v>75</v>
      </c>
      <c r="H42" t="s">
        <v>48</v>
      </c>
      <c r="I42" s="4" t="s">
        <v>49</v>
      </c>
      <c r="J42" s="4" t="s">
        <v>177</v>
      </c>
      <c r="K42" s="5" t="s">
        <v>149</v>
      </c>
      <c r="L42" s="3">
        <v>46090</v>
      </c>
      <c r="M42" s="4" t="s">
        <v>189</v>
      </c>
      <c r="N42" s="4" t="s">
        <v>53</v>
      </c>
      <c r="O42" s="4" t="s">
        <v>31</v>
      </c>
      <c r="P42" s="6" t="s">
        <v>190</v>
      </c>
      <c r="Q42" s="4" t="s">
        <v>184</v>
      </c>
      <c r="R42" s="11"/>
      <c r="S42" s="6"/>
      <c r="T42" s="4"/>
      <c r="U42" t="s">
        <v>36</v>
      </c>
      <c r="V42" s="4" t="e" vm="1">
        <f>#REF!-#REF!</f>
        <v>#REF!</v>
      </c>
      <c r="W42" s="4" t="s">
        <v>191</v>
      </c>
    </row>
    <row r="43" spans="1:23" ht="275.25">
      <c r="A43">
        <v>42</v>
      </c>
      <c r="B43" s="8">
        <v>46095.603206018503</v>
      </c>
      <c r="C43">
        <v>46097.622268518498</v>
      </c>
      <c r="D43" s="4" t="s">
        <v>23</v>
      </c>
      <c r="E43" s="4"/>
      <c r="G43" s="4" t="s">
        <v>192</v>
      </c>
      <c r="H43" t="s">
        <v>25</v>
      </c>
      <c r="I43" s="4" t="s">
        <v>63</v>
      </c>
      <c r="J43" s="4" t="s">
        <v>27</v>
      </c>
      <c r="K43" s="5" t="s">
        <v>28</v>
      </c>
      <c r="L43" s="3">
        <v>46097</v>
      </c>
      <c r="M43" s="4" t="s">
        <v>29</v>
      </c>
      <c r="N43" s="4" t="s">
        <v>193</v>
      </c>
      <c r="O43" s="4" t="s">
        <v>31</v>
      </c>
      <c r="P43" s="6" t="s">
        <v>194</v>
      </c>
      <c r="Q43" s="4" t="s">
        <v>33</v>
      </c>
      <c r="R43" s="11">
        <v>46140</v>
      </c>
      <c r="S43" s="19" t="s">
        <v>195</v>
      </c>
      <c r="T43" s="4"/>
      <c r="V43" s="4" t="e" vm="1">
        <f>#REF!-#REF!</f>
        <v>#REF!</v>
      </c>
      <c r="W43" s="4" t="s">
        <v>196</v>
      </c>
    </row>
    <row r="44" spans="1:23" ht="409.6">
      <c r="A44">
        <v>43</v>
      </c>
      <c r="B44" s="8">
        <v>46097.633425925902</v>
      </c>
      <c r="C44">
        <v>46097.661863425899</v>
      </c>
      <c r="D44" s="4" t="s">
        <v>23</v>
      </c>
      <c r="E44" s="4"/>
      <c r="G44" s="4" t="s">
        <v>192</v>
      </c>
      <c r="H44" t="s">
        <v>25</v>
      </c>
      <c r="I44" s="4" t="s">
        <v>63</v>
      </c>
      <c r="J44" s="4" t="s">
        <v>27</v>
      </c>
      <c r="K44" s="5" t="s">
        <v>38</v>
      </c>
      <c r="L44" s="3">
        <v>46097</v>
      </c>
      <c r="M44" s="4" t="s">
        <v>29</v>
      </c>
      <c r="N44" s="4" t="s">
        <v>193</v>
      </c>
      <c r="O44" s="4" t="s">
        <v>31</v>
      </c>
      <c r="P44" s="6" t="s">
        <v>197</v>
      </c>
      <c r="Q44" s="4" t="s">
        <v>33</v>
      </c>
      <c r="R44" s="11">
        <v>46140</v>
      </c>
      <c r="S44" s="19" t="s">
        <v>195</v>
      </c>
      <c r="T44" s="4"/>
      <c r="V44" s="4" t="e" vm="1">
        <f>#REF!-#REF!</f>
        <v>#REF!</v>
      </c>
      <c r="W44" s="4" t="s">
        <v>198</v>
      </c>
    </row>
    <row r="45" spans="1:23" ht="137.25">
      <c r="A45">
        <v>44</v>
      </c>
      <c r="B45" s="8">
        <v>46118.419270833299</v>
      </c>
      <c r="C45">
        <v>46118.428842592599</v>
      </c>
      <c r="D45" s="4" t="s">
        <v>23</v>
      </c>
      <c r="E45" s="4"/>
      <c r="G45" s="6" t="s">
        <v>199</v>
      </c>
      <c r="H45" t="s">
        <v>48</v>
      </c>
      <c r="I45" s="4" t="s">
        <v>49</v>
      </c>
      <c r="J45" s="4" t="s">
        <v>91</v>
      </c>
      <c r="K45" s="5" t="s">
        <v>51</v>
      </c>
      <c r="L45" s="3">
        <v>46118</v>
      </c>
      <c r="M45" s="4" t="s">
        <v>52</v>
      </c>
      <c r="N45" s="4" t="s">
        <v>39</v>
      </c>
      <c r="O45" s="4" t="s">
        <v>43</v>
      </c>
      <c r="P45" s="6" t="s">
        <v>200</v>
      </c>
      <c r="Q45" s="4"/>
      <c r="R45" s="11"/>
      <c r="S45" s="6"/>
      <c r="T45" s="4"/>
      <c r="V45" s="4" t="e" vm="1">
        <f>#REF!-#REF!</f>
        <v>#REF!</v>
      </c>
      <c r="W45" s="4" t="s">
        <v>201</v>
      </c>
    </row>
    <row r="46" spans="1:23">
      <c r="A46">
        <v>55</v>
      </c>
      <c r="B46" s="8">
        <v>46131.777905092596</v>
      </c>
      <c r="C46">
        <v>46131.779027777797</v>
      </c>
      <c r="D46" s="4" t="s">
        <v>23</v>
      </c>
      <c r="E46" s="4"/>
      <c r="F46" t="s">
        <v>202</v>
      </c>
      <c r="G46" s="4" t="s">
        <v>203</v>
      </c>
      <c r="H46" t="s">
        <v>25</v>
      </c>
      <c r="I46" s="4" t="s">
        <v>26</v>
      </c>
      <c r="J46" s="4" t="s">
        <v>204</v>
      </c>
      <c r="K46" s="5" t="s">
        <v>59</v>
      </c>
      <c r="L46" s="3">
        <v>46131</v>
      </c>
      <c r="M46" s="4" t="s">
        <v>205</v>
      </c>
      <c r="N46" s="4" t="s">
        <v>39</v>
      </c>
      <c r="O46" s="4" t="s">
        <v>31</v>
      </c>
      <c r="P46" s="4" t="s">
        <v>206</v>
      </c>
      <c r="Q46" s="4" t="s">
        <v>33</v>
      </c>
      <c r="R46" s="11">
        <v>46140</v>
      </c>
      <c r="S46" s="4" t="s">
        <v>207</v>
      </c>
      <c r="T46" s="4"/>
      <c r="V46" s="4" t="e" vm="1">
        <f>#REF!-#REF!</f>
        <v>#REF!</v>
      </c>
      <c r="W46" s="4" t="s">
        <v>208</v>
      </c>
    </row>
    <row r="47" spans="1:23">
      <c r="A47">
        <v>56</v>
      </c>
      <c r="B47" s="8">
        <v>46134.876863425903</v>
      </c>
      <c r="C47">
        <v>46134.880208333299</v>
      </c>
      <c r="D47" s="4" t="s">
        <v>23</v>
      </c>
      <c r="E47" s="4"/>
      <c r="F47" t="s">
        <v>209</v>
      </c>
      <c r="G47" s="4" t="s">
        <v>210</v>
      </c>
      <c r="H47" t="s">
        <v>211</v>
      </c>
      <c r="I47" s="4" t="s">
        <v>212</v>
      </c>
      <c r="J47" s="4" t="s">
        <v>213</v>
      </c>
      <c r="K47" s="5" t="s">
        <v>149</v>
      </c>
      <c r="L47" s="3">
        <v>46134</v>
      </c>
      <c r="M47" s="4" t="s">
        <v>189</v>
      </c>
      <c r="N47" s="4" t="s">
        <v>53</v>
      </c>
      <c r="O47" s="4" t="s">
        <v>31</v>
      </c>
      <c r="P47" s="4" t="s">
        <v>214</v>
      </c>
      <c r="Q47" s="4"/>
      <c r="R47" s="11"/>
      <c r="S47" s="4"/>
      <c r="T47" s="4"/>
      <c r="V47" s="4" t="e" vm="1">
        <f>#REF!-#REF!</f>
        <v>#REF!</v>
      </c>
      <c r="W47" s="4" t="s">
        <v>215</v>
      </c>
    </row>
    <row r="48" spans="1:23" ht="229.5">
      <c r="A48">
        <v>57</v>
      </c>
      <c r="B48" s="8">
        <v>46135.708090277803</v>
      </c>
      <c r="C48">
        <v>46135.711944444403</v>
      </c>
      <c r="D48" s="4" t="s">
        <v>23</v>
      </c>
      <c r="E48" s="4"/>
      <c r="F48" t="s">
        <v>209</v>
      </c>
      <c r="G48" s="4" t="s">
        <v>210</v>
      </c>
      <c r="H48" t="s">
        <v>211</v>
      </c>
      <c r="I48" s="4" t="s">
        <v>212</v>
      </c>
      <c r="J48" s="4" t="s">
        <v>213</v>
      </c>
      <c r="K48" s="5" t="s">
        <v>83</v>
      </c>
      <c r="L48" s="3">
        <v>46135</v>
      </c>
      <c r="M48" s="4" t="s">
        <v>150</v>
      </c>
      <c r="N48" s="4" t="s">
        <v>30</v>
      </c>
      <c r="O48" s="4" t="s">
        <v>31</v>
      </c>
      <c r="P48" s="6" t="s">
        <v>216</v>
      </c>
      <c r="Q48" s="4"/>
      <c r="R48" s="11"/>
      <c r="S48" s="4"/>
      <c r="T48" s="4"/>
      <c r="V48" s="4" t="e" vm="1">
        <f>#REF!-#REF!</f>
        <v>#REF!</v>
      </c>
      <c r="W48" s="4" t="s">
        <v>217</v>
      </c>
    </row>
    <row r="49" spans="1:23" ht="45.75">
      <c r="A49">
        <v>58</v>
      </c>
      <c r="B49" s="8">
        <v>46147.476134259297</v>
      </c>
      <c r="C49">
        <v>46147.478599536997</v>
      </c>
      <c r="D49" s="4" t="s">
        <v>23</v>
      </c>
      <c r="E49" s="4"/>
      <c r="F49" t="s">
        <v>218</v>
      </c>
      <c r="G49" s="4" t="s">
        <v>219</v>
      </c>
      <c r="H49" t="s">
        <v>211</v>
      </c>
      <c r="I49" s="4" t="s">
        <v>212</v>
      </c>
      <c r="J49" s="4" t="s">
        <v>220</v>
      </c>
      <c r="K49" s="5" t="s">
        <v>221</v>
      </c>
      <c r="L49" s="3">
        <v>46147</v>
      </c>
      <c r="M49" s="4" t="s">
        <v>29</v>
      </c>
      <c r="N49" s="4" t="s">
        <v>193</v>
      </c>
      <c r="O49" s="4" t="s">
        <v>43</v>
      </c>
      <c r="P49" s="6" t="s">
        <v>222</v>
      </c>
      <c r="Q49" s="4"/>
      <c r="R49" s="11"/>
      <c r="S49" s="4"/>
      <c r="T49" s="4"/>
      <c r="V49" s="4" t="e" vm="1">
        <f>#REF!-#REF!</f>
        <v>#REF!</v>
      </c>
      <c r="W49" s="4" t="s">
        <v>223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6582a92-8f2c-4afa-b33e-4c7156948127">
      <Terms xmlns="http://schemas.microsoft.com/office/infopath/2007/PartnerControls"/>
    </lcf76f155ced4ddcb4097134ff3c332f>
    <TaxCatchAll xmlns="0b6132c6-95e6-49b1-9b92-5b03f7a41eb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8F257B11DA974B96CEDA8B3F1BF38C" ma:contentTypeVersion="17" ma:contentTypeDescription="Create a new document." ma:contentTypeScope="" ma:versionID="c3631a7bfc139286904e66c6ee3f4e46">
  <xsd:schema xmlns:xsd="http://www.w3.org/2001/XMLSchema" xmlns:xs="http://www.w3.org/2001/XMLSchema" xmlns:p="http://schemas.microsoft.com/office/2006/metadata/properties" xmlns:ns2="66582a92-8f2c-4afa-b33e-4c7156948127" xmlns:ns3="0b6132c6-95e6-49b1-9b92-5b03f7a41ebe" targetNamespace="http://schemas.microsoft.com/office/2006/metadata/properties" ma:root="true" ma:fieldsID="57467f6fa82d573ed58dc578d214ac50" ns2:_="" ns3:_="">
    <xsd:import namespace="66582a92-8f2c-4afa-b33e-4c7156948127"/>
    <xsd:import namespace="0b6132c6-95e6-49b1-9b92-5b03f7a41eb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582a92-8f2c-4afa-b33e-4c71569481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6132c6-95e6-49b1-9b92-5b03f7a41eb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1858419-7142-420c-8818-2681f82c4804}" ma:internalName="TaxCatchAll" ma:showField="CatchAllData" ma:web="0b6132c6-95e6-49b1-9b92-5b03f7a41e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BB9F9E-9898-4636-92A6-0DA0CD7CE1EF}"/>
</file>

<file path=customXml/itemProps2.xml><?xml version="1.0" encoding="utf-8"?>
<ds:datastoreItem xmlns:ds="http://schemas.openxmlformats.org/officeDocument/2006/customXml" ds:itemID="{AB01C99C-BB71-4589-8CF9-43D8CF6F0D58}"/>
</file>

<file path=customXml/itemProps3.xml><?xml version="1.0" encoding="utf-8"?>
<ds:datastoreItem xmlns:ds="http://schemas.openxmlformats.org/officeDocument/2006/customXml" ds:itemID="{1C078B6D-A024-4BBE-A8E3-F679C471A9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Hema Anand V</cp:lastModifiedBy>
  <cp:revision/>
  <dcterms:created xsi:type="dcterms:W3CDTF">2026-05-05T07:02:02Z</dcterms:created>
  <dcterms:modified xsi:type="dcterms:W3CDTF">2026-05-05T07:02:45Z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0x010100518F257B11DA974B96CEDA8B3F1BF38C</vt:lpwstr>
  </property>
  <property fmtid="{D5CDD505-2E9C-101B-9397-08002B2CF9AE}" pid="3" name="MediaServiceImageTags">
    <vt:lpwstr/>
  </property>
</Properties>
</file>